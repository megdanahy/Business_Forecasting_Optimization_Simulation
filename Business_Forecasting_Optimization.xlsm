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egdanahy/Desktop/"/>
    </mc:Choice>
  </mc:AlternateContent>
  <xr:revisionPtr revIDLastSave="0" documentId="13_ncr:1_{6F21306D-65DE-A047-ADC2-1954E1CD43E1}" xr6:coauthVersionLast="47" xr6:coauthVersionMax="47" xr10:uidLastSave="{00000000-0000-0000-0000-000000000000}"/>
  <bookViews>
    <workbookView xWindow="7520" yWindow="1560" windowWidth="21840" windowHeight="13140" xr2:uid="{91DB227A-7359-F64A-B062-C88D560BCB7E}"/>
  </bookViews>
  <sheets>
    <sheet name="Welcome" sheetId="3" r:id="rId1"/>
    <sheet name="Hidden" sheetId="4" r:id="rId2"/>
    <sheet name="Forecasting" sheetId="1" r:id="rId3"/>
    <sheet name="Investment" sheetId="2" r:id="rId4"/>
  </sheets>
  <definedNames>
    <definedName name="Allocation">Investment!$E$6:$E$13</definedName>
    <definedName name="AllocationDV">Investment!$D$6:$E$13</definedName>
    <definedName name="Available_Funds">Investment!$E$21</definedName>
    <definedName name="Investment">Investment!$F$6:$F$13</definedName>
    <definedName name="LogInInfo">Hidden!$A$1:$D$5</definedName>
    <definedName name="Max_Allocation">Investment!$D$21</definedName>
    <definedName name="Maximize_Expected_Profit">Investment!$G$21</definedName>
    <definedName name="Min_Allocation">Investment!$D$19</definedName>
    <definedName name="Min_to_Select">Investment!$C$21</definedName>
    <definedName name="P1_Price">Forecasting!$A$72:$A$84</definedName>
    <definedName name="P1_Sales">Forecasting!$B$72:$B$84</definedName>
    <definedName name="Return_Rate">Investment!$G$6:$G$13</definedName>
    <definedName name="Risk_Rate">Investment!$H$6:$H$13</definedName>
    <definedName name="Selected">Investment!$D$6:$D$13</definedName>
    <definedName name="solver_adj" localSheetId="3" hidden="1">Investment!$D$6:$D$13,Investment!$E$6:$E$13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Investment!$E$6:$E$13</definedName>
    <definedName name="solver_lhs2" localSheetId="3" hidden="1">Investment!$E$6:$E$13</definedName>
    <definedName name="solver_lhs3" localSheetId="3" hidden="1">Investment!$D$6:$D$13</definedName>
    <definedName name="solver_lhs4" localSheetId="3" hidden="1">Investment!$E$19</definedName>
    <definedName name="solver_lhs5" localSheetId="3" hidden="1">Investment!$C$19</definedName>
    <definedName name="solver_lhs6" localSheetId="3" hidden="1">Investment!$C$19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5</definedName>
    <definedName name="solver_nwt" localSheetId="3" hidden="1">1</definedName>
    <definedName name="solver_opt" localSheetId="3" hidden="1">Investment!$G$21</definedName>
    <definedName name="solver_pre" localSheetId="3" hidden="1">0.000001</definedName>
    <definedName name="solver_rbv" localSheetId="3" hidden="1">2</definedName>
    <definedName name="solver_rel1" localSheetId="3" hidden="1">1</definedName>
    <definedName name="solver_rel2" localSheetId="3" hidden="1">3</definedName>
    <definedName name="solver_rel3" localSheetId="3" hidden="1">5</definedName>
    <definedName name="solver_rel4" localSheetId="3" hidden="1">1</definedName>
    <definedName name="solver_rel5" localSheetId="3" hidden="1">3</definedName>
    <definedName name="solver_rel6" localSheetId="3" hidden="1">3</definedName>
    <definedName name="solver_rhs1" localSheetId="3" hidden="1">Max_Allocation</definedName>
    <definedName name="solver_rhs2" localSheetId="3" hidden="1">Min_Allocation</definedName>
    <definedName name="solver_rhs3" localSheetId="3" hidden="1">"binary"</definedName>
    <definedName name="solver_rhs4" localSheetId="3" hidden="1">Available_Funds</definedName>
    <definedName name="solver_rhs5" localSheetId="3" hidden="1">Min_to_Select</definedName>
    <definedName name="solver_rhs6" localSheetId="3" hidden="1">Min_to_Select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Total_Investment">Investment!$E$19</definedName>
    <definedName name="Total_Selected">Investment!$C$19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2" l="1" a="1"/>
  <c r="I6" i="2" s="1"/>
  <c r="C19" i="2" l="1"/>
  <c r="F13" i="2" l="1"/>
  <c r="F10" i="2"/>
  <c r="F11" i="2"/>
  <c r="F12" i="2"/>
  <c r="F7" i="2" l="1"/>
  <c r="F8" i="2"/>
  <c r="F9" i="2"/>
  <c r="F6" i="2"/>
  <c r="E19" i="2" l="1"/>
  <c r="N83" i="1" a="1"/>
  <c r="N83" i="1" s="1"/>
  <c r="F61" i="1" a="1"/>
  <c r="F61" i="1" s="1"/>
  <c r="G61" i="1" s="1"/>
  <c r="F62" i="1" a="1"/>
  <c r="F62" i="1" s="1"/>
  <c r="G62" i="1" s="1"/>
  <c r="F63" i="1" a="1"/>
  <c r="F63" i="1" s="1"/>
  <c r="G63" i="1" s="1"/>
  <c r="F64" i="1" a="1"/>
  <c r="F64" i="1" s="1"/>
  <c r="G64" i="1" s="1"/>
  <c r="F65" i="1" a="1"/>
  <c r="F65" i="1" s="1"/>
  <c r="G65" i="1" s="1"/>
  <c r="F66" i="1" a="1"/>
  <c r="F66" i="1" s="1"/>
  <c r="G66" i="1" s="1"/>
  <c r="F67" i="1" a="1"/>
  <c r="F67" i="1" s="1"/>
  <c r="G67" i="1" s="1"/>
  <c r="F68" i="1" a="1"/>
  <c r="F68" i="1" s="1"/>
  <c r="G68" i="1" s="1"/>
  <c r="F69" i="1" a="1"/>
  <c r="F69" i="1" s="1"/>
  <c r="G69" i="1" s="1"/>
  <c r="F70" i="1" a="1"/>
  <c r="F70" i="1" s="1"/>
  <c r="G70" i="1" s="1"/>
  <c r="F71" i="1" a="1"/>
  <c r="F71" i="1" s="1"/>
  <c r="G71" i="1" s="1"/>
  <c r="F72" i="1" a="1"/>
  <c r="F72" i="1" s="1"/>
  <c r="G72" i="1" s="1"/>
  <c r="F73" i="1" a="1"/>
  <c r="F73" i="1" s="1"/>
  <c r="G73" i="1" s="1"/>
  <c r="F74" i="1" a="1"/>
  <c r="F74" i="1" s="1"/>
  <c r="G74" i="1" s="1"/>
  <c r="F75" i="1" a="1"/>
  <c r="F75" i="1" s="1"/>
  <c r="G75" i="1" s="1"/>
  <c r="F76" i="1" a="1"/>
  <c r="F76" i="1" s="1"/>
  <c r="G76" i="1" s="1"/>
  <c r="F77" i="1" a="1"/>
  <c r="F77" i="1" s="1"/>
  <c r="G77" i="1" s="1"/>
  <c r="F78" i="1" a="1"/>
  <c r="F78" i="1" s="1"/>
  <c r="G78" i="1" s="1"/>
  <c r="F79" i="1" a="1"/>
  <c r="F79" i="1" s="1"/>
  <c r="G79" i="1" s="1"/>
  <c r="F80" i="1" a="1"/>
  <c r="F80" i="1" s="1"/>
  <c r="G80" i="1" s="1"/>
  <c r="F81" i="1" a="1"/>
  <c r="F81" i="1" s="1"/>
  <c r="G81" i="1" s="1"/>
  <c r="F82" i="1" a="1"/>
  <c r="F82" i="1" s="1"/>
  <c r="G82" i="1" s="1"/>
  <c r="F83" i="1" a="1"/>
  <c r="F83" i="1" s="1"/>
  <c r="G83" i="1" s="1"/>
  <c r="F84" i="1" a="1"/>
  <c r="F84" i="1" s="1"/>
  <c r="G84" i="1" s="1"/>
  <c r="F60" i="1" a="1"/>
  <c r="F60" i="1" s="1"/>
  <c r="G60" i="1" s="1"/>
  <c r="D61" i="1" a="1"/>
  <c r="D61" i="1" s="1"/>
  <c r="E61" i="1" s="1"/>
  <c r="D62" i="1" a="1"/>
  <c r="D62" i="1" s="1"/>
  <c r="E62" i="1" s="1"/>
  <c r="D63" i="1" a="1"/>
  <c r="D63" i="1" s="1"/>
  <c r="E63" i="1" s="1"/>
  <c r="D64" i="1" a="1"/>
  <c r="D64" i="1" s="1"/>
  <c r="E64" i="1" s="1"/>
  <c r="D65" i="1" a="1"/>
  <c r="D65" i="1" s="1"/>
  <c r="E65" i="1" s="1"/>
  <c r="D66" i="1" a="1"/>
  <c r="D66" i="1" s="1"/>
  <c r="E66" i="1" s="1"/>
  <c r="D67" i="1" a="1"/>
  <c r="D67" i="1" s="1"/>
  <c r="E67" i="1" s="1"/>
  <c r="D68" i="1" a="1"/>
  <c r="D68" i="1" s="1"/>
  <c r="E68" i="1" s="1"/>
  <c r="D69" i="1" a="1"/>
  <c r="D69" i="1" s="1"/>
  <c r="E69" i="1" s="1"/>
  <c r="D70" i="1" a="1"/>
  <c r="D70" i="1" s="1"/>
  <c r="E70" i="1" s="1"/>
  <c r="D71" i="1" a="1"/>
  <c r="D71" i="1" s="1"/>
  <c r="E71" i="1" s="1"/>
  <c r="D72" i="1" a="1"/>
  <c r="D72" i="1" s="1"/>
  <c r="E72" i="1" s="1"/>
  <c r="D73" i="1" a="1"/>
  <c r="D73" i="1" s="1"/>
  <c r="E73" i="1" s="1"/>
  <c r="D74" i="1" a="1"/>
  <c r="D74" i="1" s="1"/>
  <c r="E74" i="1" s="1"/>
  <c r="D75" i="1" a="1"/>
  <c r="D75" i="1" s="1"/>
  <c r="E75" i="1" s="1"/>
  <c r="D76" i="1" a="1"/>
  <c r="D76" i="1" s="1"/>
  <c r="E76" i="1" s="1"/>
  <c r="D77" i="1" a="1"/>
  <c r="D77" i="1" s="1"/>
  <c r="E77" i="1" s="1"/>
  <c r="D78" i="1" a="1"/>
  <c r="D78" i="1" s="1"/>
  <c r="E78" i="1" s="1"/>
  <c r="D79" i="1" a="1"/>
  <c r="D79" i="1" s="1"/>
  <c r="E79" i="1" s="1"/>
  <c r="D80" i="1" a="1"/>
  <c r="D80" i="1" s="1"/>
  <c r="E80" i="1" s="1"/>
  <c r="D81" i="1" a="1"/>
  <c r="D81" i="1" s="1"/>
  <c r="E81" i="1" s="1"/>
  <c r="D82" i="1" a="1"/>
  <c r="D82" i="1" s="1"/>
  <c r="E82" i="1" s="1"/>
  <c r="D83" i="1" a="1"/>
  <c r="D83" i="1" s="1"/>
  <c r="E83" i="1" s="1"/>
  <c r="D84" i="1" a="1"/>
  <c r="D84" i="1" s="1"/>
  <c r="E84" i="1" s="1"/>
  <c r="D60" i="1" a="1"/>
  <c r="D60" i="1" s="1"/>
  <c r="E60" i="1" s="1"/>
  <c r="B61" i="1" a="1"/>
  <c r="B61" i="1" s="1"/>
  <c r="C61" i="1" s="1"/>
  <c r="B62" i="1" a="1"/>
  <c r="B62" i="1" s="1"/>
  <c r="C62" i="1" s="1"/>
  <c r="B63" i="1" a="1"/>
  <c r="B63" i="1" s="1"/>
  <c r="C63" i="1" s="1"/>
  <c r="B64" i="1" a="1"/>
  <c r="B64" i="1" s="1"/>
  <c r="C64" i="1" s="1"/>
  <c r="B65" i="1" a="1"/>
  <c r="B65" i="1" s="1"/>
  <c r="C65" i="1" s="1"/>
  <c r="B66" i="1" a="1"/>
  <c r="B66" i="1" s="1"/>
  <c r="C66" i="1" s="1"/>
  <c r="B67" i="1" a="1"/>
  <c r="B67" i="1" s="1"/>
  <c r="C67" i="1" s="1"/>
  <c r="B68" i="1" a="1"/>
  <c r="B68" i="1" s="1"/>
  <c r="C68" i="1" s="1"/>
  <c r="B69" i="1" a="1"/>
  <c r="B69" i="1" s="1"/>
  <c r="C69" i="1" s="1"/>
  <c r="B70" i="1" a="1"/>
  <c r="B70" i="1" s="1"/>
  <c r="C70" i="1" s="1"/>
  <c r="B71" i="1" a="1"/>
  <c r="B71" i="1" s="1"/>
  <c r="C71" i="1" s="1"/>
  <c r="B72" i="1" a="1"/>
  <c r="B72" i="1" s="1"/>
  <c r="C72" i="1" s="1"/>
  <c r="B73" i="1" a="1"/>
  <c r="B73" i="1" s="1"/>
  <c r="C73" i="1" s="1"/>
  <c r="B74" i="1" a="1"/>
  <c r="B74" i="1" s="1"/>
  <c r="C74" i="1" s="1"/>
  <c r="B75" i="1" a="1"/>
  <c r="B75" i="1" s="1"/>
  <c r="C75" i="1" s="1"/>
  <c r="B76" i="1" a="1"/>
  <c r="B76" i="1" s="1"/>
  <c r="C76" i="1" s="1"/>
  <c r="B77" i="1" a="1"/>
  <c r="B77" i="1" s="1"/>
  <c r="C77" i="1" s="1"/>
  <c r="B78" i="1" a="1"/>
  <c r="B78" i="1" s="1"/>
  <c r="C78" i="1" s="1"/>
  <c r="B79" i="1" a="1"/>
  <c r="B79" i="1" s="1"/>
  <c r="C79" i="1" s="1"/>
  <c r="B80" i="1" a="1"/>
  <c r="B80" i="1" s="1"/>
  <c r="C80" i="1" s="1"/>
  <c r="B81" i="1" a="1"/>
  <c r="B81" i="1" s="1"/>
  <c r="C81" i="1" s="1"/>
  <c r="B82" i="1" a="1"/>
  <c r="B82" i="1" s="1"/>
  <c r="C82" i="1" s="1"/>
  <c r="B83" i="1" a="1"/>
  <c r="B83" i="1" s="1"/>
  <c r="C83" i="1" s="1"/>
  <c r="B84" i="1" a="1"/>
  <c r="B84" i="1" s="1"/>
  <c r="C84" i="1" s="1"/>
  <c r="B60" i="1" a="1"/>
  <c r="B60" i="1" s="1"/>
  <c r="C60" i="1" s="1"/>
  <c r="P73" i="1" l="1" a="1"/>
  <c r="P73" i="1" s="1"/>
  <c r="Q73" i="1" s="1"/>
  <c r="P77" i="1" a="1"/>
  <c r="P77" i="1" s="1"/>
  <c r="Q77" i="1" s="1"/>
  <c r="P65" i="1" a="1"/>
  <c r="P65" i="1" s="1"/>
  <c r="Q65" i="1" s="1"/>
  <c r="P60" i="1" a="1"/>
  <c r="P60" i="1" s="1"/>
  <c r="Q60" i="1" s="1"/>
  <c r="P84" i="1" a="1"/>
  <c r="P84" i="1" s="1"/>
  <c r="Q84" i="1" s="1"/>
  <c r="P80" i="1" a="1"/>
  <c r="P80" i="1" s="1"/>
  <c r="Q80" i="1" s="1"/>
  <c r="P76" i="1" a="1"/>
  <c r="P76" i="1" s="1"/>
  <c r="Q76" i="1" s="1"/>
  <c r="P72" i="1" a="1"/>
  <c r="P72" i="1" s="1"/>
  <c r="Q72" i="1" s="1"/>
  <c r="P68" i="1" a="1"/>
  <c r="P68" i="1" s="1"/>
  <c r="Q68" i="1" s="1"/>
  <c r="P64" i="1" a="1"/>
  <c r="P64" i="1" s="1"/>
  <c r="Q64" i="1" s="1"/>
  <c r="P83" i="1" a="1"/>
  <c r="P83" i="1" s="1"/>
  <c r="Q83" i="1" s="1"/>
  <c r="P79" i="1" a="1"/>
  <c r="P79" i="1" s="1"/>
  <c r="Q79" i="1" s="1"/>
  <c r="P75" i="1" a="1"/>
  <c r="P75" i="1" s="1"/>
  <c r="Q75" i="1" s="1"/>
  <c r="P71" i="1" a="1"/>
  <c r="P71" i="1" s="1"/>
  <c r="Q71" i="1" s="1"/>
  <c r="P67" i="1" a="1"/>
  <c r="P67" i="1" s="1"/>
  <c r="Q67" i="1" s="1"/>
  <c r="P63" i="1" a="1"/>
  <c r="P63" i="1" s="1"/>
  <c r="Q63" i="1" s="1"/>
  <c r="P82" i="1" a="1"/>
  <c r="P82" i="1" s="1"/>
  <c r="Q82" i="1" s="1"/>
  <c r="P74" i="1" a="1"/>
  <c r="P74" i="1" s="1"/>
  <c r="Q74" i="1" s="1"/>
  <c r="P70" i="1" a="1"/>
  <c r="P70" i="1" s="1"/>
  <c r="Q70" i="1" s="1"/>
  <c r="P62" i="1" a="1"/>
  <c r="P62" i="1" s="1"/>
  <c r="Q62" i="1" s="1"/>
  <c r="P78" i="1" a="1"/>
  <c r="P78" i="1" s="1"/>
  <c r="Q78" i="1" s="1"/>
  <c r="P66" i="1" a="1"/>
  <c r="P66" i="1" s="1"/>
  <c r="Q66" i="1" s="1"/>
  <c r="P81" i="1" a="1"/>
  <c r="P81" i="1" s="1"/>
  <c r="Q81" i="1" s="1"/>
  <c r="P69" i="1" a="1"/>
  <c r="P69" i="1" s="1"/>
  <c r="Q69" i="1" s="1"/>
  <c r="P61" i="1" a="1"/>
  <c r="P61" i="1" s="1"/>
  <c r="Q61" i="1" s="1"/>
  <c r="N80" i="1" a="1"/>
  <c r="N80" i="1" s="1"/>
  <c r="O80" i="1" s="1"/>
  <c r="N60" i="1" a="1"/>
  <c r="N60" i="1" s="1"/>
  <c r="O60" i="1" s="1"/>
  <c r="N84" i="1" a="1"/>
  <c r="N84" i="1" s="1"/>
  <c r="O84" i="1" s="1"/>
  <c r="N76" i="1" a="1"/>
  <c r="N76" i="1" s="1"/>
  <c r="O76" i="1" s="1"/>
  <c r="N72" i="1" a="1"/>
  <c r="N72" i="1" s="1"/>
  <c r="O72" i="1" s="1"/>
  <c r="N68" i="1" a="1"/>
  <c r="N68" i="1" s="1"/>
  <c r="O68" i="1" s="1"/>
  <c r="N64" i="1" a="1"/>
  <c r="N64" i="1" s="1"/>
  <c r="O64" i="1" s="1"/>
  <c r="O83" i="1"/>
  <c r="N79" i="1" a="1"/>
  <c r="N79" i="1" s="1"/>
  <c r="O79" i="1" s="1"/>
  <c r="N75" i="1" a="1"/>
  <c r="N75" i="1" s="1"/>
  <c r="O75" i="1" s="1"/>
  <c r="N71" i="1" a="1"/>
  <c r="N71" i="1" s="1"/>
  <c r="O71" i="1" s="1"/>
  <c r="N67" i="1" a="1"/>
  <c r="N67" i="1" s="1"/>
  <c r="O67" i="1" s="1"/>
  <c r="N63" i="1" a="1"/>
  <c r="N63" i="1" s="1"/>
  <c r="O63" i="1" s="1"/>
  <c r="N82" i="1" a="1"/>
  <c r="N82" i="1" s="1"/>
  <c r="O82" i="1" s="1"/>
  <c r="N78" i="1" a="1"/>
  <c r="N78" i="1" s="1"/>
  <c r="O78" i="1" s="1"/>
  <c r="N74" i="1" a="1"/>
  <c r="N74" i="1" s="1"/>
  <c r="O74" i="1" s="1"/>
  <c r="N70" i="1" a="1"/>
  <c r="N70" i="1" s="1"/>
  <c r="O70" i="1" s="1"/>
  <c r="N66" i="1" a="1"/>
  <c r="N66" i="1" s="1"/>
  <c r="O66" i="1" s="1"/>
  <c r="N62" i="1" a="1"/>
  <c r="N62" i="1" s="1"/>
  <c r="O62" i="1" s="1"/>
  <c r="N81" i="1" a="1"/>
  <c r="N81" i="1" s="1"/>
  <c r="O81" i="1" s="1"/>
  <c r="N77" i="1" a="1"/>
  <c r="N77" i="1" s="1"/>
  <c r="O77" i="1" s="1"/>
  <c r="N73" i="1" a="1"/>
  <c r="N73" i="1" s="1"/>
  <c r="O73" i="1" s="1"/>
  <c r="N69" i="1" a="1"/>
  <c r="N69" i="1" s="1"/>
  <c r="O69" i="1" s="1"/>
  <c r="N65" i="1" a="1"/>
  <c r="N65" i="1" s="1"/>
  <c r="O65" i="1" s="1"/>
  <c r="N61" i="1" a="1"/>
  <c r="N61" i="1" s="1"/>
  <c r="O61" i="1" s="1"/>
  <c r="L73" i="1" a="1"/>
  <c r="L73" i="1" s="1"/>
  <c r="M73" i="1" s="1"/>
  <c r="L60" i="1" a="1"/>
  <c r="L60" i="1" s="1"/>
  <c r="M60" i="1" s="1"/>
  <c r="L84" i="1" a="1"/>
  <c r="L84" i="1" s="1"/>
  <c r="M84" i="1" s="1"/>
  <c r="L80" i="1" a="1"/>
  <c r="L80" i="1" s="1"/>
  <c r="M80" i="1" s="1"/>
  <c r="L76" i="1" a="1"/>
  <c r="L76" i="1" s="1"/>
  <c r="M76" i="1" s="1"/>
  <c r="L72" i="1" a="1"/>
  <c r="L72" i="1" s="1"/>
  <c r="M72" i="1" s="1"/>
  <c r="L68" i="1" a="1"/>
  <c r="L68" i="1" s="1"/>
  <c r="M68" i="1" s="1"/>
  <c r="L64" i="1" a="1"/>
  <c r="L64" i="1" s="1"/>
  <c r="M64" i="1" s="1"/>
  <c r="L83" i="1" a="1"/>
  <c r="L83" i="1" s="1"/>
  <c r="M83" i="1" s="1"/>
  <c r="L79" i="1" a="1"/>
  <c r="L79" i="1" s="1"/>
  <c r="M79" i="1" s="1"/>
  <c r="L75" i="1" a="1"/>
  <c r="L75" i="1" s="1"/>
  <c r="M75" i="1" s="1"/>
  <c r="L71" i="1" a="1"/>
  <c r="L71" i="1" s="1"/>
  <c r="M71" i="1" s="1"/>
  <c r="L67" i="1" a="1"/>
  <c r="L67" i="1" s="1"/>
  <c r="M67" i="1" s="1"/>
  <c r="L63" i="1" a="1"/>
  <c r="L63" i="1" s="1"/>
  <c r="M63" i="1" s="1"/>
  <c r="L82" i="1" a="1"/>
  <c r="L82" i="1" s="1"/>
  <c r="M82" i="1" s="1"/>
  <c r="L78" i="1" a="1"/>
  <c r="L78" i="1" s="1"/>
  <c r="M78" i="1" s="1"/>
  <c r="L74" i="1" a="1"/>
  <c r="L74" i="1" s="1"/>
  <c r="M74" i="1" s="1"/>
  <c r="L70" i="1" a="1"/>
  <c r="L70" i="1" s="1"/>
  <c r="M70" i="1" s="1"/>
  <c r="L66" i="1" a="1"/>
  <c r="L66" i="1" s="1"/>
  <c r="M66" i="1" s="1"/>
  <c r="L62" i="1" a="1"/>
  <c r="L62" i="1" s="1"/>
  <c r="M62" i="1" s="1"/>
  <c r="L81" i="1" a="1"/>
  <c r="L81" i="1" s="1"/>
  <c r="M81" i="1" s="1"/>
  <c r="L77" i="1" a="1"/>
  <c r="L77" i="1" s="1"/>
  <c r="M77" i="1" s="1"/>
  <c r="L69" i="1" a="1"/>
  <c r="L69" i="1" s="1"/>
  <c r="M69" i="1" s="1"/>
  <c r="L65" i="1" a="1"/>
  <c r="L65" i="1" s="1"/>
  <c r="M65" i="1" s="1"/>
  <c r="L61" i="1" a="1"/>
  <c r="L61" i="1" s="1"/>
  <c r="M61" i="1" s="1"/>
  <c r="J60" i="1" a="1"/>
  <c r="J60" i="1" s="1"/>
  <c r="K60" i="1" s="1"/>
  <c r="J69" i="1" a="1"/>
  <c r="J69" i="1" s="1"/>
  <c r="K69" i="1" s="1"/>
  <c r="J77" i="1" a="1"/>
  <c r="J77" i="1" s="1"/>
  <c r="K77" i="1" s="1"/>
  <c r="J84" i="1" a="1"/>
  <c r="J84" i="1" s="1"/>
  <c r="K84" i="1" s="1"/>
  <c r="J80" i="1" a="1"/>
  <c r="J80" i="1" s="1"/>
  <c r="K80" i="1" s="1"/>
  <c r="J76" i="1" a="1"/>
  <c r="J76" i="1" s="1"/>
  <c r="K76" i="1" s="1"/>
  <c r="J72" i="1" a="1"/>
  <c r="J72" i="1" s="1"/>
  <c r="K72" i="1" s="1"/>
  <c r="J68" i="1" a="1"/>
  <c r="J68" i="1" s="1"/>
  <c r="K68" i="1" s="1"/>
  <c r="J64" i="1" a="1"/>
  <c r="J64" i="1" s="1"/>
  <c r="K64" i="1" s="1"/>
  <c r="J73" i="1" a="1"/>
  <c r="J73" i="1" s="1"/>
  <c r="K73" i="1" s="1"/>
  <c r="J63" i="1" a="1"/>
  <c r="J63" i="1" s="1"/>
  <c r="K63" i="1" s="1"/>
  <c r="J75" i="1" a="1"/>
  <c r="J75" i="1" s="1"/>
  <c r="K75" i="1" s="1"/>
  <c r="J81" i="1" a="1"/>
  <c r="J81" i="1" s="1"/>
  <c r="K81" i="1" s="1"/>
  <c r="J79" i="1" a="1"/>
  <c r="J79" i="1" s="1"/>
  <c r="K79" i="1" s="1"/>
  <c r="J71" i="1" a="1"/>
  <c r="J71" i="1" s="1"/>
  <c r="K71" i="1" s="1"/>
  <c r="J82" i="1" a="1"/>
  <c r="J82" i="1" s="1"/>
  <c r="K82" i="1" s="1"/>
  <c r="J78" i="1" a="1"/>
  <c r="J78" i="1" s="1"/>
  <c r="K78" i="1" s="1"/>
  <c r="J74" i="1" a="1"/>
  <c r="J74" i="1" s="1"/>
  <c r="K74" i="1" s="1"/>
  <c r="J70" i="1" a="1"/>
  <c r="J70" i="1" s="1"/>
  <c r="K70" i="1" s="1"/>
  <c r="J66" i="1" a="1"/>
  <c r="J66" i="1" s="1"/>
  <c r="K66" i="1" s="1"/>
  <c r="J62" i="1" a="1"/>
  <c r="J62" i="1" s="1"/>
  <c r="K62" i="1" s="1"/>
  <c r="J83" i="1" a="1"/>
  <c r="J83" i="1" s="1"/>
  <c r="K83" i="1" s="1"/>
  <c r="J67" i="1" a="1"/>
  <c r="J67" i="1" s="1"/>
  <c r="K67" i="1" s="1"/>
  <c r="J65" i="1" a="1"/>
  <c r="J65" i="1" s="1"/>
  <c r="K65" i="1" s="1"/>
  <c r="J61" i="1" a="1"/>
  <c r="J61" i="1" s="1"/>
  <c r="K61" i="1" s="1"/>
  <c r="H60" i="1" a="1"/>
  <c r="H60" i="1" s="1"/>
  <c r="I60" i="1" s="1"/>
  <c r="H68" i="1" a="1"/>
  <c r="H68" i="1" s="1"/>
  <c r="I68" i="1" s="1"/>
  <c r="H67" i="1" a="1"/>
  <c r="H67" i="1" s="1"/>
  <c r="I67" i="1" s="1"/>
  <c r="H63" i="1" a="1"/>
  <c r="H63" i="1" s="1"/>
  <c r="I63" i="1" s="1"/>
  <c r="H66" i="1" a="1"/>
  <c r="H66" i="1" s="1"/>
  <c r="I66" i="1" s="1"/>
  <c r="H71" i="1" a="1"/>
  <c r="H71" i="1" s="1"/>
  <c r="I71" i="1" s="1"/>
  <c r="H84" i="1" a="1"/>
  <c r="H84" i="1" s="1"/>
  <c r="I84" i="1" s="1"/>
  <c r="H80" i="1" a="1"/>
  <c r="H80" i="1" s="1"/>
  <c r="I80" i="1" s="1"/>
  <c r="H76" i="1" a="1"/>
  <c r="H76" i="1" s="1"/>
  <c r="I76" i="1" s="1"/>
  <c r="H72" i="1" a="1"/>
  <c r="H72" i="1" s="1"/>
  <c r="I72" i="1" s="1"/>
  <c r="H64" i="1" a="1"/>
  <c r="H64" i="1" s="1"/>
  <c r="I64" i="1" s="1"/>
  <c r="H62" i="1" a="1"/>
  <c r="H62" i="1" s="1"/>
  <c r="I62" i="1" s="1"/>
  <c r="H83" i="1" a="1"/>
  <c r="H83" i="1" s="1"/>
  <c r="I83" i="1" s="1"/>
  <c r="H79" i="1" a="1"/>
  <c r="H79" i="1" s="1"/>
  <c r="I79" i="1" s="1"/>
  <c r="H75" i="1" a="1"/>
  <c r="H75" i="1" s="1"/>
  <c r="I75" i="1" s="1"/>
  <c r="H82" i="1" a="1"/>
  <c r="H82" i="1" s="1"/>
  <c r="I82" i="1" s="1"/>
  <c r="H78" i="1" a="1"/>
  <c r="H78" i="1" s="1"/>
  <c r="I78" i="1" s="1"/>
  <c r="H74" i="1" a="1"/>
  <c r="H74" i="1" s="1"/>
  <c r="I74" i="1" s="1"/>
  <c r="H70" i="1" a="1"/>
  <c r="H70" i="1" s="1"/>
  <c r="I70" i="1" s="1"/>
  <c r="H81" i="1" a="1"/>
  <c r="H81" i="1" s="1"/>
  <c r="I81" i="1" s="1"/>
  <c r="H77" i="1" a="1"/>
  <c r="H77" i="1" s="1"/>
  <c r="I77" i="1" s="1"/>
  <c r="H73" i="1" a="1"/>
  <c r="H73" i="1" s="1"/>
  <c r="I73" i="1" s="1"/>
  <c r="H69" i="1" a="1"/>
  <c r="H69" i="1" s="1"/>
  <c r="I69" i="1" s="1"/>
  <c r="H65" i="1" a="1"/>
  <c r="H65" i="1" s="1"/>
  <c r="I65" i="1" s="1"/>
  <c r="H61" i="1" a="1"/>
  <c r="H61" i="1" s="1"/>
  <c r="I61" i="1" s="1"/>
  <c r="H15" i="2" l="1"/>
  <c r="G15" i="2"/>
  <c r="G21" i="2" l="1"/>
  <c r="C2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<sst xmlns="http://schemas.openxmlformats.org/spreadsheetml/2006/main" count="100" uniqueCount="56">
  <si>
    <t>Welcome! Please Log-in</t>
  </si>
  <si>
    <t xml:space="preserve">Executive sales view and Financial Analyst profit maximization </t>
  </si>
  <si>
    <t>Username</t>
  </si>
  <si>
    <t>Password</t>
  </si>
  <si>
    <t>Name</t>
  </si>
  <si>
    <t>Role</t>
  </si>
  <si>
    <t>caseyv</t>
  </si>
  <si>
    <t>aaa</t>
  </si>
  <si>
    <t>Casey Vechery</t>
  </si>
  <si>
    <t>Manager</t>
  </si>
  <si>
    <t>sierrah</t>
  </si>
  <si>
    <t>bbb</t>
  </si>
  <si>
    <t>Sierra Harrison</t>
  </si>
  <si>
    <t>megd</t>
  </si>
  <si>
    <t>ccc</t>
  </si>
  <si>
    <t>Meg Danahy</t>
  </si>
  <si>
    <t>Financial Analyst</t>
  </si>
  <si>
    <t>vikb</t>
  </si>
  <si>
    <t>ddd</t>
  </si>
  <si>
    <t>Sathvik Bandi</t>
  </si>
  <si>
    <t>Health, Household, Baby Care</t>
  </si>
  <si>
    <t>Beauty and Personal Care</t>
  </si>
  <si>
    <t>Electronics</t>
  </si>
  <si>
    <t>Pet Supplies</t>
  </si>
  <si>
    <t>Men's Clothing</t>
  </si>
  <si>
    <t>Women's Clothing</t>
  </si>
  <si>
    <t>Garden</t>
  </si>
  <si>
    <t>Luxury</t>
  </si>
  <si>
    <t>Week</t>
  </si>
  <si>
    <t>Sales</t>
  </si>
  <si>
    <t>Weekly Revenue</t>
  </si>
  <si>
    <t>Linear(TREND)</t>
  </si>
  <si>
    <t>ABS Error- Linear</t>
  </si>
  <si>
    <t>Investment</t>
  </si>
  <si>
    <t>Categories</t>
  </si>
  <si>
    <t>Selected</t>
  </si>
  <si>
    <t>Allocation</t>
  </si>
  <si>
    <t>Return Rate</t>
  </si>
  <si>
    <t>Risk Rate</t>
  </si>
  <si>
    <t>Health, Household, Baby</t>
  </si>
  <si>
    <t>Women's Clothes</t>
  </si>
  <si>
    <t>Total Selected</t>
  </si>
  <si>
    <t>Min Allocation</t>
  </si>
  <si>
    <t>Total Investment</t>
  </si>
  <si>
    <t>Objective:</t>
  </si>
  <si>
    <t>Min to Select</t>
  </si>
  <si>
    <t>Max Allocation</t>
  </si>
  <si>
    <t>Available Funds</t>
  </si>
  <si>
    <t>Maximize Expected Profit</t>
  </si>
  <si>
    <t>Men's Clothes</t>
  </si>
  <si>
    <t>Luxury Items</t>
  </si>
  <si>
    <t>Expected Returns</t>
  </si>
  <si>
    <t>Expected Risk</t>
  </si>
  <si>
    <r>
      <rPr>
        <b/>
        <sz val="20"/>
        <color theme="1"/>
        <rFont val="Calibri"/>
        <family val="2"/>
        <scheme val="minor"/>
      </rPr>
      <t>Selections</t>
    </r>
    <r>
      <rPr>
        <b/>
        <sz val="12"/>
        <color theme="1"/>
        <rFont val="Calibri"/>
        <family val="2"/>
        <scheme val="minor"/>
      </rPr>
      <t xml:space="preserve"> </t>
    </r>
  </si>
  <si>
    <t>To log in as Manager- username: caseyv | password: aaa</t>
  </si>
  <si>
    <t>To log in as Analyst- username: megd | password: ccc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</si>
</sst>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20"/>
      <color theme="1"/>
      <name val="Calibri (Body)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3">
    <xf numFmtId="0" fontId="0" fillId="0" borderId="0" xfId="0"/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0" borderId="1" xfId="0" applyBorder="1"/>
    <xf numFmtId="0" fontId="0" fillId="4" borderId="1" xfId="0" applyFill="1" applyBorder="1"/>
    <xf numFmtId="0" fontId="0" fillId="5" borderId="1" xfId="0" applyFill="1" applyBorder="1"/>
    <xf numFmtId="0" fontId="1" fillId="3" borderId="1" xfId="0" applyFont="1" applyFill="1" applyBorder="1"/>
    <xf numFmtId="0" fontId="2" fillId="3" borderId="1" xfId="0" applyFont="1" applyFill="1" applyBorder="1"/>
    <xf numFmtId="0" fontId="1" fillId="2" borderId="1" xfId="0" applyFont="1" applyFill="1" applyBorder="1"/>
    <xf numFmtId="44" fontId="0" fillId="0" borderId="1" xfId="1" applyFont="1" applyBorder="1"/>
    <xf numFmtId="2" fontId="0" fillId="0" borderId="1" xfId="0" applyNumberFormat="1" applyBorder="1"/>
    <xf numFmtId="2" fontId="0" fillId="0" borderId="1" xfId="1" applyNumberFormat="1" applyFont="1" applyBorder="1"/>
    <xf numFmtId="9" fontId="0" fillId="5" borderId="1" xfId="2" applyFont="1" applyFill="1" applyBorder="1"/>
    <xf numFmtId="44" fontId="0" fillId="5" borderId="1" xfId="1" applyFont="1" applyFill="1" applyBorder="1"/>
    <xf numFmtId="0" fontId="0" fillId="7" borderId="0" xfId="0" applyFill="1"/>
    <xf numFmtId="0" fontId="0" fillId="8" borderId="0" xfId="0" applyFill="1"/>
    <xf numFmtId="0" fontId="1" fillId="0" borderId="0" xfId="0" applyFont="1"/>
    <xf numFmtId="44" fontId="0" fillId="7" borderId="0" xfId="1" applyFont="1" applyFill="1"/>
    <xf numFmtId="44" fontId="0" fillId="7" borderId="0" xfId="1" applyFont="1" applyFill="1" applyBorder="1"/>
    <xf numFmtId="44" fontId="0" fillId="4" borderId="1" xfId="1" applyFont="1" applyFill="1" applyBorder="1"/>
    <xf numFmtId="44" fontId="0" fillId="6" borderId="1" xfId="1" applyFont="1" applyFill="1" applyBorder="1"/>
    <xf numFmtId="44" fontId="0" fillId="9" borderId="1" xfId="1" applyFont="1" applyFill="1" applyBorder="1"/>
    <xf numFmtId="0" fontId="1" fillId="10" borderId="1" xfId="0" applyFont="1" applyFill="1" applyBorder="1"/>
    <xf numFmtId="0" fontId="0" fillId="11" borderId="1" xfId="0" applyFill="1" applyBorder="1"/>
    <xf numFmtId="0" fontId="0" fillId="7" borderId="0" xfId="1" applyNumberFormat="1" applyFont="1" applyFill="1" applyBorder="1"/>
    <xf numFmtId="0" fontId="7" fillId="7" borderId="0" xfId="0" applyFont="1" applyFill="1"/>
    <xf numFmtId="0" fontId="6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5" fillId="8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8" fillId="7" borderId="0" xfId="0" applyFont="1" applyFill="1" applyAlignment="1">
      <alignment horizontal="center"/>
    </xf>
    <xf numFmtId="0" fontId="1" fillId="6" borderId="3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" fillId="6" borderId="9" xfId="0" applyFont="1" applyFill="1" applyBorder="1" applyAlignment="1">
      <alignment horizontal="center" vertic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CCFF"/>
      <color rgb="FFFFA821"/>
      <color rgb="FF070D16"/>
      <color rgb="FFDF3F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78888888888888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Forecasting!$C$1:$C$2</c:f>
              <c:strCache>
                <c:ptCount val="2"/>
                <c:pt idx="0">
                  <c:v>Health, Household, Baby Care</c:v>
                </c:pt>
                <c:pt idx="1">
                  <c:v>Weekly Revenue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F3FE2"/>
              </a:solidFill>
              <a:ln w="9525">
                <a:noFill/>
              </a:ln>
              <a:effectLst/>
            </c:spPr>
          </c:marker>
          <c:trendline>
            <c:spPr>
              <a:ln w="28575" cap="rnd">
                <a:solidFill>
                  <a:srgbClr val="DF3FE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079155730533684"/>
                  <c:y val="0.168531277340332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Forecasting!$B$3:$B$27</c:f>
              <c:numCache>
                <c:formatCode>General</c:formatCode>
                <c:ptCount val="25"/>
                <c:pt idx="0">
                  <c:v>395</c:v>
                </c:pt>
                <c:pt idx="1">
                  <c:v>376</c:v>
                </c:pt>
                <c:pt idx="2">
                  <c:v>398</c:v>
                </c:pt>
                <c:pt idx="3">
                  <c:v>322</c:v>
                </c:pt>
                <c:pt idx="4">
                  <c:v>304</c:v>
                </c:pt>
                <c:pt idx="5">
                  <c:v>336</c:v>
                </c:pt>
                <c:pt idx="6">
                  <c:v>323</c:v>
                </c:pt>
                <c:pt idx="7">
                  <c:v>309</c:v>
                </c:pt>
                <c:pt idx="8">
                  <c:v>335</c:v>
                </c:pt>
                <c:pt idx="9">
                  <c:v>376</c:v>
                </c:pt>
                <c:pt idx="10">
                  <c:v>300</c:v>
                </c:pt>
                <c:pt idx="11">
                  <c:v>347</c:v>
                </c:pt>
                <c:pt idx="12">
                  <c:v>333</c:v>
                </c:pt>
                <c:pt idx="13">
                  <c:v>353</c:v>
                </c:pt>
                <c:pt idx="14">
                  <c:v>309</c:v>
                </c:pt>
                <c:pt idx="15">
                  <c:v>391</c:v>
                </c:pt>
                <c:pt idx="16">
                  <c:v>363</c:v>
                </c:pt>
                <c:pt idx="17">
                  <c:v>351</c:v>
                </c:pt>
                <c:pt idx="18">
                  <c:v>349</c:v>
                </c:pt>
                <c:pt idx="19">
                  <c:v>391</c:v>
                </c:pt>
                <c:pt idx="20">
                  <c:v>388</c:v>
                </c:pt>
                <c:pt idx="21">
                  <c:v>302</c:v>
                </c:pt>
                <c:pt idx="22">
                  <c:v>317</c:v>
                </c:pt>
                <c:pt idx="23">
                  <c:v>353</c:v>
                </c:pt>
                <c:pt idx="24">
                  <c:v>387</c:v>
                </c:pt>
              </c:numCache>
            </c:numRef>
          </c:xVal>
          <c:yVal>
            <c:numRef>
              <c:f>Forecasting!$C$3:$C$27</c:f>
              <c:numCache>
                <c:formatCode>_("$"* #,##0.00_);_("$"* \(#,##0.00\);_("$"* "-"??_);_(@_)</c:formatCode>
                <c:ptCount val="25"/>
                <c:pt idx="0">
                  <c:v>17380</c:v>
                </c:pt>
                <c:pt idx="1">
                  <c:v>16920</c:v>
                </c:pt>
                <c:pt idx="2">
                  <c:v>17910</c:v>
                </c:pt>
                <c:pt idx="3">
                  <c:v>9982</c:v>
                </c:pt>
                <c:pt idx="4">
                  <c:v>10640</c:v>
                </c:pt>
                <c:pt idx="5">
                  <c:v>10080</c:v>
                </c:pt>
                <c:pt idx="6">
                  <c:v>10982</c:v>
                </c:pt>
                <c:pt idx="7">
                  <c:v>12978</c:v>
                </c:pt>
                <c:pt idx="8">
                  <c:v>11055</c:v>
                </c:pt>
                <c:pt idx="9">
                  <c:v>16168</c:v>
                </c:pt>
                <c:pt idx="10">
                  <c:v>10500</c:v>
                </c:pt>
                <c:pt idx="11">
                  <c:v>11798</c:v>
                </c:pt>
                <c:pt idx="12">
                  <c:v>11655</c:v>
                </c:pt>
                <c:pt idx="13">
                  <c:v>12355</c:v>
                </c:pt>
                <c:pt idx="14">
                  <c:v>13905</c:v>
                </c:pt>
                <c:pt idx="15">
                  <c:v>12121</c:v>
                </c:pt>
                <c:pt idx="16">
                  <c:v>11253</c:v>
                </c:pt>
                <c:pt idx="17">
                  <c:v>13338</c:v>
                </c:pt>
                <c:pt idx="18">
                  <c:v>12215</c:v>
                </c:pt>
                <c:pt idx="19">
                  <c:v>12903</c:v>
                </c:pt>
                <c:pt idx="20">
                  <c:v>13968</c:v>
                </c:pt>
                <c:pt idx="21">
                  <c:v>13590</c:v>
                </c:pt>
                <c:pt idx="22">
                  <c:v>10778</c:v>
                </c:pt>
                <c:pt idx="23">
                  <c:v>14473</c:v>
                </c:pt>
                <c:pt idx="24">
                  <c:v>13932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97-4740-BA17-8B6F341EB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803807"/>
        <c:axId val="1163340111"/>
      </c:scatterChart>
      <c:valAx>
        <c:axId val="1620803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340111"/>
        <c:crosses val="autoZero"/>
        <c:crossBetween val="midCat"/>
      </c:valAx>
      <c:valAx>
        <c:axId val="1163340111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803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Forecasting!$E$1:$E$2</c:f>
              <c:strCache>
                <c:ptCount val="2"/>
                <c:pt idx="0">
                  <c:v>Beauty and Personal Care</c:v>
                </c:pt>
                <c:pt idx="1">
                  <c:v>Weekly Revenue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trendline>
            <c:spPr>
              <a:ln w="28575" cap="rnd">
                <a:solidFill>
                  <a:srgbClr val="92D05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8291119860017494E-2"/>
                  <c:y val="7.42053076698745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Forecasting!$D$3:$D$27</c:f>
              <c:numCache>
                <c:formatCode>General</c:formatCode>
                <c:ptCount val="25"/>
                <c:pt idx="0">
                  <c:v>571</c:v>
                </c:pt>
                <c:pt idx="1">
                  <c:v>581</c:v>
                </c:pt>
                <c:pt idx="2">
                  <c:v>523</c:v>
                </c:pt>
                <c:pt idx="3">
                  <c:v>584</c:v>
                </c:pt>
                <c:pt idx="4">
                  <c:v>569</c:v>
                </c:pt>
                <c:pt idx="5">
                  <c:v>558</c:v>
                </c:pt>
                <c:pt idx="6">
                  <c:v>502</c:v>
                </c:pt>
                <c:pt idx="7">
                  <c:v>558</c:v>
                </c:pt>
                <c:pt idx="8">
                  <c:v>536</c:v>
                </c:pt>
                <c:pt idx="9">
                  <c:v>593</c:v>
                </c:pt>
                <c:pt idx="10">
                  <c:v>506</c:v>
                </c:pt>
                <c:pt idx="11">
                  <c:v>509</c:v>
                </c:pt>
                <c:pt idx="12">
                  <c:v>591</c:v>
                </c:pt>
                <c:pt idx="13">
                  <c:v>522</c:v>
                </c:pt>
                <c:pt idx="14">
                  <c:v>511</c:v>
                </c:pt>
                <c:pt idx="15">
                  <c:v>535</c:v>
                </c:pt>
                <c:pt idx="16">
                  <c:v>512</c:v>
                </c:pt>
                <c:pt idx="17">
                  <c:v>509</c:v>
                </c:pt>
                <c:pt idx="18">
                  <c:v>500</c:v>
                </c:pt>
                <c:pt idx="19">
                  <c:v>595</c:v>
                </c:pt>
                <c:pt idx="20">
                  <c:v>591</c:v>
                </c:pt>
                <c:pt idx="21">
                  <c:v>546</c:v>
                </c:pt>
                <c:pt idx="22">
                  <c:v>587</c:v>
                </c:pt>
                <c:pt idx="23">
                  <c:v>537</c:v>
                </c:pt>
                <c:pt idx="24">
                  <c:v>543</c:v>
                </c:pt>
              </c:numCache>
            </c:numRef>
          </c:xVal>
          <c:yVal>
            <c:numRef>
              <c:f>Forecasting!$E$3:$E$27</c:f>
              <c:numCache>
                <c:formatCode>_("$"* #,##0.00_);_("$"* \(#,##0.00\);_("$"* "-"??_);_(@_)</c:formatCode>
                <c:ptCount val="25"/>
                <c:pt idx="0">
                  <c:v>15988</c:v>
                </c:pt>
                <c:pt idx="1">
                  <c:v>16849</c:v>
                </c:pt>
                <c:pt idx="2">
                  <c:v>9414</c:v>
                </c:pt>
                <c:pt idx="3">
                  <c:v>9928</c:v>
                </c:pt>
                <c:pt idx="4">
                  <c:v>13087</c:v>
                </c:pt>
                <c:pt idx="5">
                  <c:v>13392</c:v>
                </c:pt>
                <c:pt idx="6">
                  <c:v>15060</c:v>
                </c:pt>
                <c:pt idx="7">
                  <c:v>8370</c:v>
                </c:pt>
                <c:pt idx="8">
                  <c:v>9112</c:v>
                </c:pt>
                <c:pt idx="9">
                  <c:v>13046</c:v>
                </c:pt>
                <c:pt idx="10">
                  <c:v>13662</c:v>
                </c:pt>
                <c:pt idx="11">
                  <c:v>8653</c:v>
                </c:pt>
                <c:pt idx="12">
                  <c:v>14775</c:v>
                </c:pt>
                <c:pt idx="13">
                  <c:v>12528</c:v>
                </c:pt>
                <c:pt idx="14">
                  <c:v>10731</c:v>
                </c:pt>
                <c:pt idx="15">
                  <c:v>14445</c:v>
                </c:pt>
                <c:pt idx="16">
                  <c:v>12800</c:v>
                </c:pt>
                <c:pt idx="17">
                  <c:v>11198</c:v>
                </c:pt>
                <c:pt idx="18">
                  <c:v>7500</c:v>
                </c:pt>
                <c:pt idx="19">
                  <c:v>13090</c:v>
                </c:pt>
                <c:pt idx="20">
                  <c:v>10047</c:v>
                </c:pt>
                <c:pt idx="21">
                  <c:v>12558</c:v>
                </c:pt>
                <c:pt idx="22">
                  <c:v>8805</c:v>
                </c:pt>
                <c:pt idx="23">
                  <c:v>12351</c:v>
                </c:pt>
                <c:pt idx="24">
                  <c:v>15204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61-F348-A5E0-E6E64E5C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595679"/>
        <c:axId val="1574143583"/>
      </c:scatterChart>
      <c:valAx>
        <c:axId val="117759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143583"/>
        <c:crosses val="autoZero"/>
        <c:crossBetween val="midCat"/>
      </c:valAx>
      <c:valAx>
        <c:axId val="1574143583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5956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Forecasting!$G$1:$G$2</c:f>
              <c:strCache>
                <c:ptCount val="2"/>
                <c:pt idx="0">
                  <c:v>Electronics</c:v>
                </c:pt>
                <c:pt idx="1">
                  <c:v>Weekly Revenue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70D16"/>
              </a:solidFill>
              <a:ln w="9525">
                <a:solidFill>
                  <a:srgbClr val="070D16"/>
                </a:solidFill>
              </a:ln>
              <a:effectLst/>
            </c:spPr>
          </c:marker>
          <c:trendline>
            <c:spPr>
              <a:ln w="28575" cap="rnd">
                <a:solidFill>
                  <a:srgbClr val="070D16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862248468941377"/>
                  <c:y val="-1.0141440653251676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Forecasting!$F$3:$F$27</c:f>
              <c:numCache>
                <c:formatCode>General</c:formatCode>
                <c:ptCount val="25"/>
                <c:pt idx="0">
                  <c:v>226</c:v>
                </c:pt>
                <c:pt idx="1">
                  <c:v>221</c:v>
                </c:pt>
                <c:pt idx="2">
                  <c:v>208</c:v>
                </c:pt>
                <c:pt idx="3">
                  <c:v>244</c:v>
                </c:pt>
                <c:pt idx="4">
                  <c:v>217</c:v>
                </c:pt>
                <c:pt idx="5">
                  <c:v>235</c:v>
                </c:pt>
                <c:pt idx="6">
                  <c:v>233</c:v>
                </c:pt>
                <c:pt idx="7">
                  <c:v>222</c:v>
                </c:pt>
                <c:pt idx="8">
                  <c:v>238</c:v>
                </c:pt>
                <c:pt idx="9">
                  <c:v>248</c:v>
                </c:pt>
                <c:pt idx="10">
                  <c:v>249</c:v>
                </c:pt>
                <c:pt idx="11">
                  <c:v>242</c:v>
                </c:pt>
                <c:pt idx="12">
                  <c:v>209</c:v>
                </c:pt>
                <c:pt idx="13">
                  <c:v>219</c:v>
                </c:pt>
                <c:pt idx="14">
                  <c:v>250</c:v>
                </c:pt>
                <c:pt idx="15">
                  <c:v>207</c:v>
                </c:pt>
                <c:pt idx="16">
                  <c:v>210</c:v>
                </c:pt>
                <c:pt idx="17">
                  <c:v>234</c:v>
                </c:pt>
                <c:pt idx="18">
                  <c:v>201</c:v>
                </c:pt>
                <c:pt idx="19">
                  <c:v>249</c:v>
                </c:pt>
                <c:pt idx="20">
                  <c:v>224</c:v>
                </c:pt>
                <c:pt idx="21">
                  <c:v>206</c:v>
                </c:pt>
                <c:pt idx="22">
                  <c:v>204</c:v>
                </c:pt>
                <c:pt idx="23">
                  <c:v>226</c:v>
                </c:pt>
                <c:pt idx="24">
                  <c:v>238</c:v>
                </c:pt>
              </c:numCache>
            </c:numRef>
          </c:xVal>
          <c:yVal>
            <c:numRef>
              <c:f>Forecasting!$G$3:$G$27</c:f>
              <c:numCache>
                <c:formatCode>_("$"* #,##0.00_);_("$"* \(#,##0.00\);_("$"* "-"??_);_(@_)</c:formatCode>
                <c:ptCount val="25"/>
                <c:pt idx="0">
                  <c:v>11978</c:v>
                </c:pt>
                <c:pt idx="1">
                  <c:v>12155</c:v>
                </c:pt>
                <c:pt idx="2">
                  <c:v>12272</c:v>
                </c:pt>
                <c:pt idx="3">
                  <c:v>14152</c:v>
                </c:pt>
                <c:pt idx="4">
                  <c:v>11501</c:v>
                </c:pt>
                <c:pt idx="5">
                  <c:v>11985</c:v>
                </c:pt>
                <c:pt idx="6">
                  <c:v>13048</c:v>
                </c:pt>
                <c:pt idx="7">
                  <c:v>11766</c:v>
                </c:pt>
                <c:pt idx="8">
                  <c:v>12852</c:v>
                </c:pt>
                <c:pt idx="9">
                  <c:v>12648</c:v>
                </c:pt>
                <c:pt idx="10">
                  <c:v>12450</c:v>
                </c:pt>
                <c:pt idx="11">
                  <c:v>14520</c:v>
                </c:pt>
                <c:pt idx="12">
                  <c:v>11077</c:v>
                </c:pt>
                <c:pt idx="13">
                  <c:v>11388</c:v>
                </c:pt>
                <c:pt idx="14">
                  <c:v>14500</c:v>
                </c:pt>
                <c:pt idx="15">
                  <c:v>12006</c:v>
                </c:pt>
                <c:pt idx="16">
                  <c:v>11760</c:v>
                </c:pt>
                <c:pt idx="17">
                  <c:v>11934</c:v>
                </c:pt>
                <c:pt idx="18">
                  <c:v>11859</c:v>
                </c:pt>
                <c:pt idx="19">
                  <c:v>13197</c:v>
                </c:pt>
                <c:pt idx="20">
                  <c:v>13440</c:v>
                </c:pt>
                <c:pt idx="21">
                  <c:v>11330</c:v>
                </c:pt>
                <c:pt idx="22">
                  <c:v>12240</c:v>
                </c:pt>
                <c:pt idx="23">
                  <c:v>13334</c:v>
                </c:pt>
                <c:pt idx="24">
                  <c:v>12614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D-AD41-85EA-E90A7BDDF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104447"/>
        <c:axId val="1157674735"/>
      </c:scatterChart>
      <c:valAx>
        <c:axId val="1158104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674735"/>
        <c:crosses val="autoZero"/>
        <c:crossBetween val="midCat"/>
      </c:valAx>
      <c:valAx>
        <c:axId val="115767473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104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Forecasting!$I$1:$I$2</c:f>
              <c:strCache>
                <c:ptCount val="2"/>
                <c:pt idx="0">
                  <c:v>Pet Supplies</c:v>
                </c:pt>
                <c:pt idx="1">
                  <c:v>Weekly Revenue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28575" cap="rnd">
                <a:solidFill>
                  <a:srgbClr val="C0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5.8614816005142217E-3"/>
                  <c:y val="-8.817986293379993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Forecasting!$H$3:$H$28</c:f>
              <c:numCache>
                <c:formatCode>General</c:formatCode>
                <c:ptCount val="26"/>
                <c:pt idx="0">
                  <c:v>177</c:v>
                </c:pt>
                <c:pt idx="1">
                  <c:v>141</c:v>
                </c:pt>
                <c:pt idx="2">
                  <c:v>125</c:v>
                </c:pt>
                <c:pt idx="3">
                  <c:v>167</c:v>
                </c:pt>
                <c:pt idx="4">
                  <c:v>199</c:v>
                </c:pt>
                <c:pt idx="5">
                  <c:v>147</c:v>
                </c:pt>
                <c:pt idx="6">
                  <c:v>110</c:v>
                </c:pt>
                <c:pt idx="7">
                  <c:v>200</c:v>
                </c:pt>
                <c:pt idx="8">
                  <c:v>250</c:v>
                </c:pt>
                <c:pt idx="9">
                  <c:v>155</c:v>
                </c:pt>
                <c:pt idx="10">
                  <c:v>173</c:v>
                </c:pt>
                <c:pt idx="11">
                  <c:v>133</c:v>
                </c:pt>
                <c:pt idx="12">
                  <c:v>196</c:v>
                </c:pt>
                <c:pt idx="13">
                  <c:v>178</c:v>
                </c:pt>
                <c:pt idx="14">
                  <c:v>113</c:v>
                </c:pt>
                <c:pt idx="15">
                  <c:v>105</c:v>
                </c:pt>
                <c:pt idx="16">
                  <c:v>101</c:v>
                </c:pt>
                <c:pt idx="17">
                  <c:v>121</c:v>
                </c:pt>
                <c:pt idx="18">
                  <c:v>189</c:v>
                </c:pt>
                <c:pt idx="19">
                  <c:v>139</c:v>
                </c:pt>
                <c:pt idx="20">
                  <c:v>148</c:v>
                </c:pt>
                <c:pt idx="21">
                  <c:v>148</c:v>
                </c:pt>
                <c:pt idx="22">
                  <c:v>159</c:v>
                </c:pt>
                <c:pt idx="23">
                  <c:v>179</c:v>
                </c:pt>
                <c:pt idx="24">
                  <c:v>110</c:v>
                </c:pt>
              </c:numCache>
            </c:numRef>
          </c:xVal>
          <c:yVal>
            <c:numRef>
              <c:f>Forecasting!$I$3:$I$28</c:f>
              <c:numCache>
                <c:formatCode>_("$"* #,##0.00_);_("$"* \(#,##0.00\);_("$"* "-"??_);_(@_)</c:formatCode>
                <c:ptCount val="26"/>
                <c:pt idx="0">
                  <c:v>2478</c:v>
                </c:pt>
                <c:pt idx="1">
                  <c:v>1974</c:v>
                </c:pt>
                <c:pt idx="2">
                  <c:v>1750</c:v>
                </c:pt>
                <c:pt idx="3">
                  <c:v>2505</c:v>
                </c:pt>
                <c:pt idx="4">
                  <c:v>2587</c:v>
                </c:pt>
                <c:pt idx="5">
                  <c:v>1470</c:v>
                </c:pt>
                <c:pt idx="6">
                  <c:v>1540</c:v>
                </c:pt>
                <c:pt idx="7">
                  <c:v>2600</c:v>
                </c:pt>
                <c:pt idx="8">
                  <c:v>3250</c:v>
                </c:pt>
                <c:pt idx="9">
                  <c:v>1550</c:v>
                </c:pt>
                <c:pt idx="10">
                  <c:v>1730</c:v>
                </c:pt>
                <c:pt idx="11">
                  <c:v>1862</c:v>
                </c:pt>
                <c:pt idx="12">
                  <c:v>2156</c:v>
                </c:pt>
                <c:pt idx="13">
                  <c:v>2314</c:v>
                </c:pt>
                <c:pt idx="14">
                  <c:v>1243</c:v>
                </c:pt>
                <c:pt idx="15">
                  <c:v>1470</c:v>
                </c:pt>
                <c:pt idx="16">
                  <c:v>1313</c:v>
                </c:pt>
                <c:pt idx="17">
                  <c:v>1815</c:v>
                </c:pt>
                <c:pt idx="18">
                  <c:v>2268</c:v>
                </c:pt>
                <c:pt idx="19">
                  <c:v>1807</c:v>
                </c:pt>
                <c:pt idx="20">
                  <c:v>1628</c:v>
                </c:pt>
                <c:pt idx="21">
                  <c:v>1776</c:v>
                </c:pt>
                <c:pt idx="22">
                  <c:v>2226</c:v>
                </c:pt>
                <c:pt idx="23">
                  <c:v>2327</c:v>
                </c:pt>
                <c:pt idx="24">
                  <c:v>1210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17-914A-8B36-B9DED1410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696991"/>
        <c:axId val="1620302687"/>
      </c:scatterChart>
      <c:valAx>
        <c:axId val="115169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302687"/>
        <c:crosses val="autoZero"/>
        <c:crossBetween val="midCat"/>
      </c:valAx>
      <c:valAx>
        <c:axId val="1620302687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696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Forecasting!$K$1:$K$2</c:f>
              <c:strCache>
                <c:ptCount val="2"/>
                <c:pt idx="0">
                  <c:v>Men's Clothing</c:v>
                </c:pt>
                <c:pt idx="1">
                  <c:v>Weekly Revenue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trendline>
            <c:spPr>
              <a:ln w="28575" cap="rnd">
                <a:solidFill>
                  <a:schemeClr val="accent1">
                    <a:lumMod val="75000"/>
                  </a:schemeClr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1"/>
            <c:trendlineLbl>
              <c:layout>
                <c:manualLayout>
                  <c:x val="-0.13911679790026246"/>
                  <c:y val="-3.12904636920384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Forecasting!$J$3:$J$27</c:f>
              <c:numCache>
                <c:formatCode>General</c:formatCode>
                <c:ptCount val="25"/>
                <c:pt idx="0">
                  <c:v>266</c:v>
                </c:pt>
                <c:pt idx="1">
                  <c:v>263</c:v>
                </c:pt>
                <c:pt idx="2">
                  <c:v>274</c:v>
                </c:pt>
                <c:pt idx="3">
                  <c:v>252</c:v>
                </c:pt>
                <c:pt idx="4">
                  <c:v>261</c:v>
                </c:pt>
                <c:pt idx="5">
                  <c:v>264</c:v>
                </c:pt>
                <c:pt idx="6">
                  <c:v>261</c:v>
                </c:pt>
                <c:pt idx="7">
                  <c:v>251</c:v>
                </c:pt>
                <c:pt idx="8">
                  <c:v>266</c:v>
                </c:pt>
                <c:pt idx="9">
                  <c:v>300</c:v>
                </c:pt>
                <c:pt idx="10">
                  <c:v>281</c:v>
                </c:pt>
                <c:pt idx="11">
                  <c:v>283</c:v>
                </c:pt>
                <c:pt idx="12">
                  <c:v>299</c:v>
                </c:pt>
                <c:pt idx="13">
                  <c:v>255</c:v>
                </c:pt>
                <c:pt idx="14">
                  <c:v>265</c:v>
                </c:pt>
                <c:pt idx="15">
                  <c:v>300</c:v>
                </c:pt>
                <c:pt idx="16">
                  <c:v>292</c:v>
                </c:pt>
                <c:pt idx="17">
                  <c:v>221</c:v>
                </c:pt>
                <c:pt idx="18">
                  <c:v>276</c:v>
                </c:pt>
                <c:pt idx="19">
                  <c:v>281</c:v>
                </c:pt>
                <c:pt idx="20">
                  <c:v>287</c:v>
                </c:pt>
                <c:pt idx="21">
                  <c:v>299</c:v>
                </c:pt>
                <c:pt idx="22">
                  <c:v>264</c:v>
                </c:pt>
                <c:pt idx="23">
                  <c:v>269</c:v>
                </c:pt>
                <c:pt idx="24">
                  <c:v>285</c:v>
                </c:pt>
              </c:numCache>
            </c:numRef>
          </c:xVal>
          <c:yVal>
            <c:numRef>
              <c:f>Forecasting!$K$3:$K$27</c:f>
              <c:numCache>
                <c:formatCode>_("$"* #,##0.00_);_("$"* \(#,##0.00\);_("$"* "-"??_);_(@_)</c:formatCode>
                <c:ptCount val="25"/>
                <c:pt idx="0">
                  <c:v>2660</c:v>
                </c:pt>
                <c:pt idx="1">
                  <c:v>3156</c:v>
                </c:pt>
                <c:pt idx="2">
                  <c:v>3562</c:v>
                </c:pt>
                <c:pt idx="3">
                  <c:v>3528</c:v>
                </c:pt>
                <c:pt idx="4">
                  <c:v>3654</c:v>
                </c:pt>
                <c:pt idx="5">
                  <c:v>3432</c:v>
                </c:pt>
                <c:pt idx="6">
                  <c:v>3132</c:v>
                </c:pt>
                <c:pt idx="7">
                  <c:v>3263</c:v>
                </c:pt>
                <c:pt idx="8">
                  <c:v>2660</c:v>
                </c:pt>
                <c:pt idx="9">
                  <c:v>3900</c:v>
                </c:pt>
                <c:pt idx="10">
                  <c:v>2810</c:v>
                </c:pt>
                <c:pt idx="11">
                  <c:v>2830</c:v>
                </c:pt>
                <c:pt idx="12">
                  <c:v>4485</c:v>
                </c:pt>
                <c:pt idx="13">
                  <c:v>2805</c:v>
                </c:pt>
                <c:pt idx="14">
                  <c:v>3710</c:v>
                </c:pt>
                <c:pt idx="15">
                  <c:v>3000</c:v>
                </c:pt>
                <c:pt idx="16">
                  <c:v>4088</c:v>
                </c:pt>
                <c:pt idx="17">
                  <c:v>3094</c:v>
                </c:pt>
                <c:pt idx="18">
                  <c:v>3036</c:v>
                </c:pt>
                <c:pt idx="19">
                  <c:v>3372</c:v>
                </c:pt>
                <c:pt idx="20">
                  <c:v>4305</c:v>
                </c:pt>
                <c:pt idx="21">
                  <c:v>4485</c:v>
                </c:pt>
                <c:pt idx="22">
                  <c:v>3432</c:v>
                </c:pt>
                <c:pt idx="23">
                  <c:v>2959</c:v>
                </c:pt>
                <c:pt idx="24">
                  <c:v>3420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C-F542-9112-A046D48E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987567"/>
        <c:axId val="1619061679"/>
      </c:scatterChart>
      <c:valAx>
        <c:axId val="1576987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061679"/>
        <c:crosses val="autoZero"/>
        <c:crossBetween val="midCat"/>
      </c:valAx>
      <c:valAx>
        <c:axId val="1619061679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69875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Forecasting!$M$1:$M$2</c:f>
              <c:strCache>
                <c:ptCount val="2"/>
                <c:pt idx="0">
                  <c:v>Women's Clothing</c:v>
                </c:pt>
                <c:pt idx="1">
                  <c:v>Weekly Revenue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A821"/>
              </a:solidFill>
              <a:ln w="9525">
                <a:solidFill>
                  <a:srgbClr val="FFA821"/>
                </a:solidFill>
              </a:ln>
              <a:effectLst/>
            </c:spPr>
          </c:marker>
          <c:trendline>
            <c:spPr>
              <a:ln w="28575" cap="rnd">
                <a:solidFill>
                  <a:srgbClr val="FFA82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1"/>
            <c:trendlineLbl>
              <c:layout>
                <c:manualLayout>
                  <c:x val="-8.5047025371828525E-2"/>
                  <c:y val="6.414041994750656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Forecasting!$L$3:$L$27</c:f>
              <c:numCache>
                <c:formatCode>General</c:formatCode>
                <c:ptCount val="25"/>
                <c:pt idx="0">
                  <c:v>830</c:v>
                </c:pt>
                <c:pt idx="1">
                  <c:v>554</c:v>
                </c:pt>
                <c:pt idx="2">
                  <c:v>691</c:v>
                </c:pt>
                <c:pt idx="3">
                  <c:v>636</c:v>
                </c:pt>
                <c:pt idx="4">
                  <c:v>588</c:v>
                </c:pt>
                <c:pt idx="5">
                  <c:v>597</c:v>
                </c:pt>
                <c:pt idx="6">
                  <c:v>559</c:v>
                </c:pt>
                <c:pt idx="7">
                  <c:v>545</c:v>
                </c:pt>
                <c:pt idx="8">
                  <c:v>583</c:v>
                </c:pt>
                <c:pt idx="9">
                  <c:v>617</c:v>
                </c:pt>
                <c:pt idx="10">
                  <c:v>655</c:v>
                </c:pt>
                <c:pt idx="11">
                  <c:v>501</c:v>
                </c:pt>
                <c:pt idx="12">
                  <c:v>563</c:v>
                </c:pt>
                <c:pt idx="13">
                  <c:v>669</c:v>
                </c:pt>
                <c:pt idx="14">
                  <c:v>587</c:v>
                </c:pt>
                <c:pt idx="15">
                  <c:v>576</c:v>
                </c:pt>
                <c:pt idx="16">
                  <c:v>594</c:v>
                </c:pt>
                <c:pt idx="17">
                  <c:v>578</c:v>
                </c:pt>
                <c:pt idx="18">
                  <c:v>750</c:v>
                </c:pt>
                <c:pt idx="19">
                  <c:v>700</c:v>
                </c:pt>
                <c:pt idx="20">
                  <c:v>780</c:v>
                </c:pt>
                <c:pt idx="21">
                  <c:v>800</c:v>
                </c:pt>
                <c:pt idx="22">
                  <c:v>821</c:v>
                </c:pt>
                <c:pt idx="23">
                  <c:v>832</c:v>
                </c:pt>
                <c:pt idx="24">
                  <c:v>850</c:v>
                </c:pt>
              </c:numCache>
            </c:numRef>
          </c:xVal>
          <c:yVal>
            <c:numRef>
              <c:f>Forecasting!$M$3:$M$27</c:f>
              <c:numCache>
                <c:formatCode>_("$"* #,##0.00_);_("$"* \(#,##0.00\);_("$"* "-"??_);_(@_)</c:formatCode>
                <c:ptCount val="25"/>
                <c:pt idx="0">
                  <c:v>19090</c:v>
                </c:pt>
                <c:pt idx="1">
                  <c:v>12188</c:v>
                </c:pt>
                <c:pt idx="2">
                  <c:v>13820</c:v>
                </c:pt>
                <c:pt idx="3">
                  <c:v>12720</c:v>
                </c:pt>
                <c:pt idx="4">
                  <c:v>11760</c:v>
                </c:pt>
                <c:pt idx="5">
                  <c:v>11940</c:v>
                </c:pt>
                <c:pt idx="6">
                  <c:v>13416</c:v>
                </c:pt>
                <c:pt idx="7">
                  <c:v>11990</c:v>
                </c:pt>
                <c:pt idx="8">
                  <c:v>11660</c:v>
                </c:pt>
                <c:pt idx="9">
                  <c:v>15425</c:v>
                </c:pt>
                <c:pt idx="10">
                  <c:v>16375</c:v>
                </c:pt>
                <c:pt idx="11">
                  <c:v>10020</c:v>
                </c:pt>
                <c:pt idx="12">
                  <c:v>11260</c:v>
                </c:pt>
                <c:pt idx="13">
                  <c:v>14718</c:v>
                </c:pt>
                <c:pt idx="14">
                  <c:v>13501</c:v>
                </c:pt>
                <c:pt idx="15">
                  <c:v>14400</c:v>
                </c:pt>
                <c:pt idx="16">
                  <c:v>14256</c:v>
                </c:pt>
                <c:pt idx="17">
                  <c:v>13872</c:v>
                </c:pt>
                <c:pt idx="18">
                  <c:v>16500</c:v>
                </c:pt>
                <c:pt idx="19">
                  <c:v>14700</c:v>
                </c:pt>
                <c:pt idx="20">
                  <c:v>16380</c:v>
                </c:pt>
                <c:pt idx="21">
                  <c:v>17600</c:v>
                </c:pt>
                <c:pt idx="22">
                  <c:v>20525</c:v>
                </c:pt>
                <c:pt idx="23">
                  <c:v>17472</c:v>
                </c:pt>
                <c:pt idx="24">
                  <c:v>19550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F-2E40-8221-4F62B3B2D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6794815"/>
        <c:axId val="1153979199"/>
      </c:scatterChart>
      <c:valAx>
        <c:axId val="153679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979199"/>
        <c:crosses val="autoZero"/>
        <c:crossBetween val="midCat"/>
      </c:valAx>
      <c:valAx>
        <c:axId val="11539791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794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Forecasting!$O$1:$O$2</c:f>
              <c:strCache>
                <c:ptCount val="2"/>
                <c:pt idx="0">
                  <c:v>Garden</c:v>
                </c:pt>
                <c:pt idx="1">
                  <c:v>Weekly Revenue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28575" cap="rnd">
                <a:solidFill>
                  <a:srgbClr val="00B050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1"/>
            <c:trendlineLbl>
              <c:layout>
                <c:manualLayout>
                  <c:x val="-0.29675765529308834"/>
                  <c:y val="3.9574219889180516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Forecasting!$N$3:$N$28</c:f>
              <c:numCache>
                <c:formatCode>General</c:formatCode>
                <c:ptCount val="26"/>
                <c:pt idx="0">
                  <c:v>140</c:v>
                </c:pt>
                <c:pt idx="1">
                  <c:v>84</c:v>
                </c:pt>
                <c:pt idx="2">
                  <c:v>91</c:v>
                </c:pt>
                <c:pt idx="3">
                  <c:v>84</c:v>
                </c:pt>
                <c:pt idx="4">
                  <c:v>113</c:v>
                </c:pt>
                <c:pt idx="5">
                  <c:v>61</c:v>
                </c:pt>
                <c:pt idx="6">
                  <c:v>29</c:v>
                </c:pt>
                <c:pt idx="7">
                  <c:v>21</c:v>
                </c:pt>
                <c:pt idx="8">
                  <c:v>58</c:v>
                </c:pt>
                <c:pt idx="9">
                  <c:v>144</c:v>
                </c:pt>
                <c:pt idx="10">
                  <c:v>16</c:v>
                </c:pt>
                <c:pt idx="11">
                  <c:v>83</c:v>
                </c:pt>
                <c:pt idx="12">
                  <c:v>149</c:v>
                </c:pt>
                <c:pt idx="13">
                  <c:v>98</c:v>
                </c:pt>
                <c:pt idx="14">
                  <c:v>54</c:v>
                </c:pt>
                <c:pt idx="15">
                  <c:v>27</c:v>
                </c:pt>
                <c:pt idx="16">
                  <c:v>64</c:v>
                </c:pt>
                <c:pt idx="17">
                  <c:v>112</c:v>
                </c:pt>
                <c:pt idx="18">
                  <c:v>138</c:v>
                </c:pt>
                <c:pt idx="19">
                  <c:v>104</c:v>
                </c:pt>
                <c:pt idx="20">
                  <c:v>144</c:v>
                </c:pt>
                <c:pt idx="21">
                  <c:v>55</c:v>
                </c:pt>
                <c:pt idx="22">
                  <c:v>150</c:v>
                </c:pt>
                <c:pt idx="23">
                  <c:v>124</c:v>
                </c:pt>
                <c:pt idx="24">
                  <c:v>133</c:v>
                </c:pt>
              </c:numCache>
            </c:numRef>
          </c:xVal>
          <c:yVal>
            <c:numRef>
              <c:f>Forecasting!$O$3:$O$28</c:f>
              <c:numCache>
                <c:formatCode>_("$"* #,##0.00_);_("$"* \(#,##0.00\);_("$"* "-"??_);_(@_)</c:formatCode>
                <c:ptCount val="26"/>
                <c:pt idx="0">
                  <c:v>2940</c:v>
                </c:pt>
                <c:pt idx="1">
                  <c:v>1848</c:v>
                </c:pt>
                <c:pt idx="2">
                  <c:v>1820</c:v>
                </c:pt>
                <c:pt idx="3">
                  <c:v>1680</c:v>
                </c:pt>
                <c:pt idx="4">
                  <c:v>2486</c:v>
                </c:pt>
                <c:pt idx="5">
                  <c:v>1281</c:v>
                </c:pt>
                <c:pt idx="6">
                  <c:v>580</c:v>
                </c:pt>
                <c:pt idx="7">
                  <c:v>462</c:v>
                </c:pt>
                <c:pt idx="8">
                  <c:v>1276</c:v>
                </c:pt>
                <c:pt idx="9">
                  <c:v>2880</c:v>
                </c:pt>
                <c:pt idx="10">
                  <c:v>320</c:v>
                </c:pt>
                <c:pt idx="11">
                  <c:v>1743</c:v>
                </c:pt>
                <c:pt idx="12">
                  <c:v>3129</c:v>
                </c:pt>
                <c:pt idx="13">
                  <c:v>2058</c:v>
                </c:pt>
                <c:pt idx="14">
                  <c:v>1080</c:v>
                </c:pt>
                <c:pt idx="15">
                  <c:v>540</c:v>
                </c:pt>
                <c:pt idx="16">
                  <c:v>1408</c:v>
                </c:pt>
                <c:pt idx="17">
                  <c:v>2240</c:v>
                </c:pt>
                <c:pt idx="18">
                  <c:v>3036</c:v>
                </c:pt>
                <c:pt idx="19">
                  <c:v>2080</c:v>
                </c:pt>
                <c:pt idx="20">
                  <c:v>2880</c:v>
                </c:pt>
                <c:pt idx="21">
                  <c:v>1155</c:v>
                </c:pt>
                <c:pt idx="22">
                  <c:v>3150</c:v>
                </c:pt>
                <c:pt idx="23">
                  <c:v>2480</c:v>
                </c:pt>
                <c:pt idx="24">
                  <c:v>2793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B-CC4C-BDE9-70FFE24AC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597263"/>
        <c:axId val="1161962447"/>
      </c:scatterChart>
      <c:valAx>
        <c:axId val="1177597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962447"/>
        <c:crosses val="autoZero"/>
        <c:crossBetween val="midCat"/>
      </c:valAx>
      <c:valAx>
        <c:axId val="1161962447"/>
        <c:scaling>
          <c:orientation val="minMax"/>
          <c:max val="2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597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Forecasting!$Q$1:$Q$2</c:f>
              <c:strCache>
                <c:ptCount val="2"/>
                <c:pt idx="0">
                  <c:v>Luxury</c:v>
                </c:pt>
                <c:pt idx="1">
                  <c:v>Weekly Revenue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trendline>
            <c:spPr>
              <a:ln w="28575" cap="rnd">
                <a:solidFill>
                  <a:srgbClr val="7030A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043460192475939"/>
                  <c:y val="-4.2531350247885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Forecasting!$P$3:$P$27</c:f>
              <c:numCache>
                <c:formatCode>General</c:formatCode>
                <c:ptCount val="25"/>
                <c:pt idx="0">
                  <c:v>124</c:v>
                </c:pt>
                <c:pt idx="1">
                  <c:v>114</c:v>
                </c:pt>
                <c:pt idx="2">
                  <c:v>108</c:v>
                </c:pt>
                <c:pt idx="3">
                  <c:v>141</c:v>
                </c:pt>
                <c:pt idx="4">
                  <c:v>132</c:v>
                </c:pt>
                <c:pt idx="5">
                  <c:v>119</c:v>
                </c:pt>
                <c:pt idx="6">
                  <c:v>120</c:v>
                </c:pt>
                <c:pt idx="7">
                  <c:v>136</c:v>
                </c:pt>
                <c:pt idx="8">
                  <c:v>129</c:v>
                </c:pt>
                <c:pt idx="9">
                  <c:v>120</c:v>
                </c:pt>
                <c:pt idx="10">
                  <c:v>113</c:v>
                </c:pt>
                <c:pt idx="11">
                  <c:v>101</c:v>
                </c:pt>
                <c:pt idx="12">
                  <c:v>112</c:v>
                </c:pt>
                <c:pt idx="13">
                  <c:v>130</c:v>
                </c:pt>
                <c:pt idx="14">
                  <c:v>143</c:v>
                </c:pt>
                <c:pt idx="15">
                  <c:v>121</c:v>
                </c:pt>
                <c:pt idx="16">
                  <c:v>125</c:v>
                </c:pt>
                <c:pt idx="17">
                  <c:v>143</c:v>
                </c:pt>
                <c:pt idx="18">
                  <c:v>116</c:v>
                </c:pt>
                <c:pt idx="19">
                  <c:v>104</c:v>
                </c:pt>
                <c:pt idx="20">
                  <c:v>132</c:v>
                </c:pt>
                <c:pt idx="21">
                  <c:v>133</c:v>
                </c:pt>
                <c:pt idx="22">
                  <c:v>115</c:v>
                </c:pt>
                <c:pt idx="23">
                  <c:v>128</c:v>
                </c:pt>
                <c:pt idx="24">
                  <c:v>104</c:v>
                </c:pt>
              </c:numCache>
            </c:numRef>
          </c:xVal>
          <c:yVal>
            <c:numRef>
              <c:f>Forecasting!$Q$3:$Q$27</c:f>
              <c:numCache>
                <c:formatCode>_("$"* #,##0.00_);_("$"* \(#,##0.00\);_("$"* "-"??_);_(@_)</c:formatCode>
                <c:ptCount val="25"/>
                <c:pt idx="0">
                  <c:v>6572</c:v>
                </c:pt>
                <c:pt idx="1">
                  <c:v>6042</c:v>
                </c:pt>
                <c:pt idx="2">
                  <c:v>6480</c:v>
                </c:pt>
                <c:pt idx="3">
                  <c:v>8037</c:v>
                </c:pt>
                <c:pt idx="4">
                  <c:v>6600</c:v>
                </c:pt>
                <c:pt idx="5">
                  <c:v>6783</c:v>
                </c:pt>
                <c:pt idx="6">
                  <c:v>6240</c:v>
                </c:pt>
                <c:pt idx="7">
                  <c:v>7888</c:v>
                </c:pt>
                <c:pt idx="8">
                  <c:v>6579</c:v>
                </c:pt>
                <c:pt idx="9">
                  <c:v>6480</c:v>
                </c:pt>
                <c:pt idx="10">
                  <c:v>6215</c:v>
                </c:pt>
                <c:pt idx="11">
                  <c:v>5959</c:v>
                </c:pt>
                <c:pt idx="12">
                  <c:v>6720</c:v>
                </c:pt>
                <c:pt idx="13">
                  <c:v>6760</c:v>
                </c:pt>
                <c:pt idx="14">
                  <c:v>7436</c:v>
                </c:pt>
                <c:pt idx="15">
                  <c:v>6292</c:v>
                </c:pt>
                <c:pt idx="16">
                  <c:v>7500</c:v>
                </c:pt>
                <c:pt idx="17">
                  <c:v>7579</c:v>
                </c:pt>
                <c:pt idx="18">
                  <c:v>6728</c:v>
                </c:pt>
                <c:pt idx="19">
                  <c:v>5824</c:v>
                </c:pt>
                <c:pt idx="20">
                  <c:v>7392</c:v>
                </c:pt>
                <c:pt idx="21">
                  <c:v>7182</c:v>
                </c:pt>
                <c:pt idx="22">
                  <c:v>5980</c:v>
                </c:pt>
                <c:pt idx="23">
                  <c:v>6784</c:v>
                </c:pt>
                <c:pt idx="24">
                  <c:v>5304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0B-6B4D-B446-C5A936C70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112623"/>
        <c:axId val="1619892959"/>
      </c:scatterChart>
      <c:valAx>
        <c:axId val="1163112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892959"/>
        <c:crosses val="autoZero"/>
        <c:crossBetween val="midCat"/>
      </c:valAx>
      <c:valAx>
        <c:axId val="1619892959"/>
        <c:scaling>
          <c:orientation val="minMax"/>
          <c:max val="2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12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Investment!$F$5</c:f>
              <c:strCache>
                <c:ptCount val="1"/>
                <c:pt idx="0">
                  <c:v>Investment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28-604A-AFC3-AB85254804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28-604A-AFC3-AB852548048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28-604A-AFC3-AB852548048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28-604A-AFC3-AB852548048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D28-604A-AFC3-AB852548048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D28-604A-AFC3-AB852548048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D28-604A-AFC3-AB852548048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D28-604A-AFC3-AB852548048F}"/>
              </c:ext>
            </c:extLst>
          </c:dPt>
          <c:cat>
            <c:strRef>
              <c:f>Investment!$C$6:$C$13</c:f>
              <c:strCache>
                <c:ptCount val="8"/>
                <c:pt idx="0">
                  <c:v>Health, Household, Baby</c:v>
                </c:pt>
                <c:pt idx="1">
                  <c:v>Beauty and Personal Care</c:v>
                </c:pt>
                <c:pt idx="2">
                  <c:v>Electronics</c:v>
                </c:pt>
                <c:pt idx="3">
                  <c:v>Women's Clothes</c:v>
                </c:pt>
                <c:pt idx="4">
                  <c:v>Pet Supplies</c:v>
                </c:pt>
                <c:pt idx="5">
                  <c:v>Men's Clothes</c:v>
                </c:pt>
                <c:pt idx="6">
                  <c:v>Garden</c:v>
                </c:pt>
                <c:pt idx="7">
                  <c:v>Luxury Items</c:v>
                </c:pt>
              </c:strCache>
            </c:strRef>
          </c:cat>
          <c:val>
            <c:numRef>
              <c:f>Investment!$F$6:$F$13</c:f>
              <c:numCache>
                <c:formatCode>_("$"* #,##0.00_);_("$"* \(#,##0.00\);_("$"* "-"??_);_(@_)</c:formatCode>
                <c:ptCount val="8"/>
                <c:pt idx="0">
                  <c:v>8697.031111934848</c:v>
                </c:pt>
                <c:pt idx="1">
                  <c:v>4636.7508893025897</c:v>
                </c:pt>
                <c:pt idx="2">
                  <c:v>6307.6950861766545</c:v>
                </c:pt>
                <c:pt idx="3">
                  <c:v>6897.4400889097233</c:v>
                </c:pt>
                <c:pt idx="4">
                  <c:v>0</c:v>
                </c:pt>
                <c:pt idx="5">
                  <c:v>1491.4475259554574</c:v>
                </c:pt>
                <c:pt idx="6">
                  <c:v>1196.571859753891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1D-40DA-A74F-0B1B1D022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4</xdr:row>
      <xdr:rowOff>0</xdr:rowOff>
    </xdr:from>
    <xdr:to>
      <xdr:col>15</xdr:col>
      <xdr:colOff>400049</xdr:colOff>
      <xdr:row>27</xdr:row>
      <xdr:rowOff>177617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2995E37-F999-66EF-F31B-D29BE3ACB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800100"/>
          <a:ext cx="10677524" cy="4778192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0</xdr:row>
      <xdr:rowOff>133350</xdr:rowOff>
    </xdr:from>
    <xdr:to>
      <xdr:col>11</xdr:col>
      <xdr:colOff>9525</xdr:colOff>
      <xdr:row>3</xdr:row>
      <xdr:rowOff>104775</xdr:rowOff>
    </xdr:to>
    <xdr:sp macro="[0]!LogIn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F87E5A2-FBF3-C0DE-154F-F81800DC843F}"/>
            </a:ext>
          </a:extLst>
        </xdr:cNvPr>
        <xdr:cNvSpPr/>
      </xdr:nvSpPr>
      <xdr:spPr>
        <a:xfrm>
          <a:off x="5553075" y="133350"/>
          <a:ext cx="2000250" cy="57150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Log 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60012</xdr:colOff>
      <xdr:row>28</xdr:row>
      <xdr:rowOff>45165</xdr:rowOff>
    </xdr:from>
    <xdr:to>
      <xdr:col>4</xdr:col>
      <xdr:colOff>644212</xdr:colOff>
      <xdr:row>41</xdr:row>
      <xdr:rowOff>146765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23F570F-C8ED-FD28-BC89-49B7AE3117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643496</xdr:colOff>
      <xdr:row>28</xdr:row>
      <xdr:rowOff>45166</xdr:rowOff>
    </xdr:from>
    <xdr:to>
      <xdr:col>8</xdr:col>
      <xdr:colOff>668896</xdr:colOff>
      <xdr:row>41</xdr:row>
      <xdr:rowOff>146766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BE51A-3414-29DC-AEE0-FD3AF69FC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667465</xdr:colOff>
      <xdr:row>28</xdr:row>
      <xdr:rowOff>45166</xdr:rowOff>
    </xdr:from>
    <xdr:to>
      <xdr:col>12</xdr:col>
      <xdr:colOff>807165</xdr:colOff>
      <xdr:row>41</xdr:row>
      <xdr:rowOff>146766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6874A65-A7F5-CB8E-D0C9-1E6F643757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806450</xdr:colOff>
      <xdr:row>28</xdr:row>
      <xdr:rowOff>58582</xdr:rowOff>
    </xdr:from>
    <xdr:to>
      <xdr:col>17</xdr:col>
      <xdr:colOff>0</xdr:colOff>
      <xdr:row>41</xdr:row>
      <xdr:rowOff>160182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9F63BAE-618D-690B-E191-22D152114C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42</xdr:row>
      <xdr:rowOff>98828</xdr:rowOff>
    </xdr:from>
    <xdr:to>
      <xdr:col>4</xdr:col>
      <xdr:colOff>737405</xdr:colOff>
      <xdr:row>56</xdr:row>
      <xdr:rowOff>13416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61858F-78E5-1D4B-44C4-C2D1839655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735974</xdr:colOff>
      <xdr:row>42</xdr:row>
      <xdr:rowOff>112242</xdr:rowOff>
    </xdr:from>
    <xdr:to>
      <xdr:col>8</xdr:col>
      <xdr:colOff>761374</xdr:colOff>
      <xdr:row>56</xdr:row>
      <xdr:rowOff>12610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65A4B7F-AF9A-9B7B-E315-CFF4780AE5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759943</xdr:colOff>
      <xdr:row>42</xdr:row>
      <xdr:rowOff>112242</xdr:rowOff>
    </xdr:from>
    <xdr:to>
      <xdr:col>12</xdr:col>
      <xdr:colOff>899643</xdr:colOff>
      <xdr:row>56</xdr:row>
      <xdr:rowOff>12610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2848A693-5B09-6C2C-E2DD-BFAB4EFA9F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911628</xdr:colOff>
      <xdr:row>42</xdr:row>
      <xdr:rowOff>85411</xdr:rowOff>
    </xdr:from>
    <xdr:to>
      <xdr:col>17</xdr:col>
      <xdr:colOff>11896</xdr:colOff>
      <xdr:row>55</xdr:row>
      <xdr:rowOff>187011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BA28EE1D-F75D-6C60-518B-D71EA4A7CC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724436</xdr:colOff>
      <xdr:row>2</xdr:row>
      <xdr:rowOff>187817</xdr:rowOff>
    </xdr:from>
    <xdr:to>
      <xdr:col>19</xdr:col>
      <xdr:colOff>80090</xdr:colOff>
      <xdr:row>5</xdr:row>
      <xdr:rowOff>41320</xdr:rowOff>
    </xdr:to>
    <xdr:sp macro="[0]!Exit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350C80-DEAB-4B3B-9B88-61864E285C5B}"/>
            </a:ext>
          </a:extLst>
        </xdr:cNvPr>
        <xdr:cNvSpPr/>
      </xdr:nvSpPr>
      <xdr:spPr>
        <a:xfrm>
          <a:off x="19989084" y="590282"/>
          <a:ext cx="10191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/>
            <a:t>Exit</a:t>
          </a:r>
          <a:endParaRPr 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152401</xdr:rowOff>
    </xdr:from>
    <xdr:to>
      <xdr:col>1</xdr:col>
      <xdr:colOff>581025</xdr:colOff>
      <xdr:row>3</xdr:row>
      <xdr:rowOff>9526</xdr:rowOff>
    </xdr:to>
    <xdr:sp macro="[0]!Exit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16DE03B-40B1-0623-A41A-F962282A6B48}"/>
            </a:ext>
          </a:extLst>
        </xdr:cNvPr>
        <xdr:cNvSpPr/>
      </xdr:nvSpPr>
      <xdr:spPr>
        <a:xfrm>
          <a:off x="133350" y="152401"/>
          <a:ext cx="10191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/>
            <a:t>Exit</a:t>
          </a:r>
          <a:endParaRPr lang="en-US" sz="1100" b="1"/>
        </a:p>
      </xdr:txBody>
    </xdr:sp>
    <xdr:clientData/>
  </xdr:twoCellAnchor>
  <xdr:twoCellAnchor>
    <xdr:from>
      <xdr:col>3</xdr:col>
      <xdr:colOff>28575</xdr:colOff>
      <xdr:row>13</xdr:row>
      <xdr:rowOff>66673</xdr:rowOff>
    </xdr:from>
    <xdr:to>
      <xdr:col>3</xdr:col>
      <xdr:colOff>1168399</xdr:colOff>
      <xdr:row>16</xdr:row>
      <xdr:rowOff>123825</xdr:rowOff>
    </xdr:to>
    <xdr:sp macro="[0]!Module1.Allocation" textlink="">
      <xdr:nvSpPr>
        <xdr:cNvPr id="3" name="Rounded Rectangle 3">
          <a:extLst>
            <a:ext uri="{FF2B5EF4-FFF2-40B4-BE49-F238E27FC236}">
              <a16:creationId xmlns:a16="http://schemas.microsoft.com/office/drawing/2014/main" id="{8A4E9365-3A65-4557-80BC-1F31ADEB31C2}"/>
            </a:ext>
          </a:extLst>
        </xdr:cNvPr>
        <xdr:cNvSpPr/>
      </xdr:nvSpPr>
      <xdr:spPr>
        <a:xfrm>
          <a:off x="3695700" y="2838448"/>
          <a:ext cx="1139824" cy="657227"/>
        </a:xfrm>
        <a:prstGeom prst="roundRect">
          <a:avLst/>
        </a:prstGeom>
        <a:effectLst>
          <a:glow rad="63500">
            <a:schemeClr val="bg2">
              <a:lumMod val="50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normalizeH="0">
              <a:effectLst>
                <a:glow rad="139700">
                  <a:schemeClr val="accent3">
                    <a:satMod val="175000"/>
                    <a:alpha val="40000"/>
                  </a:schemeClr>
                </a:glow>
              </a:effectLst>
            </a:rPr>
            <a:t>Adjust </a:t>
          </a:r>
          <a:r>
            <a:rPr lang="en-US" sz="1600" normalizeH="0" baseline="0">
              <a:effectLst>
                <a:glow rad="139700">
                  <a:schemeClr val="accent3">
                    <a:satMod val="175000"/>
                    <a:alpha val="40000"/>
                  </a:schemeClr>
                </a:glow>
              </a:effectLst>
            </a:rPr>
            <a:t>Allocation</a:t>
          </a:r>
        </a:p>
      </xdr:txBody>
    </xdr:sp>
    <xdr:clientData/>
  </xdr:twoCellAnchor>
  <xdr:twoCellAnchor>
    <xdr:from>
      <xdr:col>4</xdr:col>
      <xdr:colOff>38099</xdr:colOff>
      <xdr:row>13</xdr:row>
      <xdr:rowOff>47626</xdr:rowOff>
    </xdr:from>
    <xdr:to>
      <xdr:col>5</xdr:col>
      <xdr:colOff>419100</xdr:colOff>
      <xdr:row>16</xdr:row>
      <xdr:rowOff>142875</xdr:rowOff>
    </xdr:to>
    <xdr:sp macro="[0]!AdjustFunds" textlink="">
      <xdr:nvSpPr>
        <xdr:cNvPr id="4" name="Rounded Rectangle 2">
          <a:extLst>
            <a:ext uri="{FF2B5EF4-FFF2-40B4-BE49-F238E27FC236}">
              <a16:creationId xmlns:a16="http://schemas.microsoft.com/office/drawing/2014/main" id="{979F4406-4827-4769-B3F4-5B56F5E50465}"/>
            </a:ext>
          </a:extLst>
        </xdr:cNvPr>
        <xdr:cNvSpPr/>
      </xdr:nvSpPr>
      <xdr:spPr>
        <a:xfrm>
          <a:off x="4886324" y="2819401"/>
          <a:ext cx="1704976" cy="695324"/>
        </a:xfrm>
        <a:prstGeom prst="roundRect">
          <a:avLst/>
        </a:prstGeom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 i="0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rPr>
            <a:t>Adjust Available Funds</a:t>
          </a:r>
        </a:p>
      </xdr:txBody>
    </xdr:sp>
    <xdr:clientData/>
  </xdr:twoCellAnchor>
  <xdr:twoCellAnchor>
    <xdr:from>
      <xdr:col>7</xdr:col>
      <xdr:colOff>66674</xdr:colOff>
      <xdr:row>17</xdr:row>
      <xdr:rowOff>161924</xdr:rowOff>
    </xdr:from>
    <xdr:to>
      <xdr:col>9</xdr:col>
      <xdr:colOff>104775</xdr:colOff>
      <xdr:row>21</xdr:row>
      <xdr:rowOff>104775</xdr:rowOff>
    </xdr:to>
    <xdr:sp macro="[0]!SolveAssignment" textlink="">
      <xdr:nvSpPr>
        <xdr:cNvPr id="5" name="Rounded Rectangle 4">
          <a:extLst>
            <a:ext uri="{FF2B5EF4-FFF2-40B4-BE49-F238E27FC236}">
              <a16:creationId xmlns:a16="http://schemas.microsoft.com/office/drawing/2014/main" id="{A335B322-9625-4FFF-BFF7-C3561B2D3507}"/>
            </a:ext>
          </a:extLst>
        </xdr:cNvPr>
        <xdr:cNvSpPr/>
      </xdr:nvSpPr>
      <xdr:spPr>
        <a:xfrm>
          <a:off x="8896349" y="2895599"/>
          <a:ext cx="1714501" cy="742951"/>
        </a:xfrm>
        <a:prstGeom prst="roundRect">
          <a:avLst/>
        </a:prstGeom>
        <a:effectLst>
          <a:glow rad="101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rPr>
            <a:t>Solve</a:t>
          </a:r>
          <a:r>
            <a:rPr lang="en-US" sz="1600" baseline="0"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rPr>
            <a:t> For Max Expected Profit</a:t>
          </a:r>
          <a:endParaRPr lang="en-US" sz="1600">
            <a:effectLst>
              <a:glow rad="1016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</xdr:col>
      <xdr:colOff>190500</xdr:colOff>
      <xdr:row>1</xdr:row>
      <xdr:rowOff>57150</xdr:rowOff>
    </xdr:from>
    <xdr:to>
      <xdr:col>12</xdr:col>
      <xdr:colOff>390524</xdr:colOff>
      <xdr:row>14</xdr:row>
      <xdr:rowOff>57150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8CA1C71-776D-1432-041F-E0DFEDB380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29955-6738-4FDE-8EC3-E43C8E32BFE4}">
  <sheetPr codeName="Sheet1"/>
  <dimension ref="A1:AY714"/>
  <sheetViews>
    <sheetView tabSelected="1" workbookViewId="0">
      <selection activeCell="M4" sqref="M4"/>
    </sheetView>
  </sheetViews>
  <sheetFormatPr baseColWidth="10" defaultColWidth="8.83203125" defaultRowHeight="16" x14ac:dyDescent="0.2"/>
  <sheetData>
    <row r="1" spans="1:51" x14ac:dyDescent="0.2">
      <c r="A1" s="27" t="s">
        <v>0</v>
      </c>
      <c r="B1" s="28"/>
      <c r="C1" s="28"/>
      <c r="D1" s="28"/>
      <c r="E1" s="28"/>
      <c r="F1" s="28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</row>
    <row r="2" spans="1:51" x14ac:dyDescent="0.2">
      <c r="A2" s="28"/>
      <c r="B2" s="28"/>
      <c r="C2" s="28"/>
      <c r="D2" s="28"/>
      <c r="E2" s="28"/>
      <c r="F2" s="28"/>
      <c r="G2" s="16"/>
      <c r="H2" s="16"/>
      <c r="I2" s="16"/>
      <c r="J2" s="16"/>
      <c r="K2" s="16"/>
      <c r="L2" s="16"/>
      <c r="M2" s="16" t="s">
        <v>54</v>
      </c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</row>
    <row r="3" spans="1:51" x14ac:dyDescent="0.2">
      <c r="A3" s="29" t="s">
        <v>1</v>
      </c>
      <c r="B3" s="28"/>
      <c r="C3" s="28"/>
      <c r="D3" s="28"/>
      <c r="E3" s="28"/>
      <c r="F3" s="28"/>
      <c r="G3" s="28"/>
      <c r="H3" s="16"/>
      <c r="I3" s="16"/>
      <c r="J3" s="16"/>
      <c r="K3" s="16"/>
      <c r="L3" s="16"/>
      <c r="M3" s="16" t="s">
        <v>55</v>
      </c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</row>
    <row r="4" spans="1:51" x14ac:dyDescent="0.2">
      <c r="A4" s="28"/>
      <c r="B4" s="28"/>
      <c r="C4" s="28"/>
      <c r="D4" s="28"/>
      <c r="E4" s="28"/>
      <c r="F4" s="28"/>
      <c r="G4" s="2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</row>
    <row r="5" spans="1:51" x14ac:dyDescent="0.2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</row>
    <row r="6" spans="1:51" x14ac:dyDescent="0.2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</row>
    <row r="7" spans="1:51" x14ac:dyDescent="0.2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</row>
    <row r="8" spans="1:51" x14ac:dyDescent="0.2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</row>
    <row r="9" spans="1:51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</row>
    <row r="10" spans="1:51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</row>
    <row r="11" spans="1:51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</row>
    <row r="12" spans="1:51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</row>
    <row r="13" spans="1:51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</row>
    <row r="14" spans="1:51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</row>
    <row r="15" spans="1:51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</row>
    <row r="16" spans="1:51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</row>
    <row r="17" spans="1:51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</row>
    <row r="18" spans="1:51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</row>
    <row r="19" spans="1:51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</row>
    <row r="20" spans="1:51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</row>
    <row r="21" spans="1:51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</row>
    <row r="22" spans="1:51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</row>
    <row r="23" spans="1:51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</row>
    <row r="24" spans="1:51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</row>
    <row r="25" spans="1:51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</row>
    <row r="26" spans="1:51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</row>
    <row r="27" spans="1:51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</row>
    <row r="28" spans="1:51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</row>
    <row r="29" spans="1:51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</row>
    <row r="30" spans="1:51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</row>
    <row r="31" spans="1:51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</row>
    <row r="32" spans="1:51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</row>
    <row r="33" spans="1:51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</row>
    <row r="34" spans="1:51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</row>
    <row r="35" spans="1:51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</row>
    <row r="36" spans="1:51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</row>
    <row r="37" spans="1:51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</row>
    <row r="38" spans="1:51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</row>
    <row r="39" spans="1:51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</row>
    <row r="40" spans="1:51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</row>
    <row r="41" spans="1:51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</row>
    <row r="42" spans="1:51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</row>
    <row r="43" spans="1:51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</row>
    <row r="44" spans="1:51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</row>
    <row r="45" spans="1:51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</row>
    <row r="46" spans="1:51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</row>
    <row r="47" spans="1:51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</row>
    <row r="48" spans="1:51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</row>
    <row r="49" spans="1:51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</row>
    <row r="50" spans="1:51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</row>
    <row r="51" spans="1:51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</row>
    <row r="52" spans="1:51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</row>
    <row r="53" spans="1:51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</row>
    <row r="54" spans="1:51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</row>
    <row r="55" spans="1:51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</row>
    <row r="56" spans="1:51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</row>
    <row r="57" spans="1:51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</row>
    <row r="58" spans="1:51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</row>
    <row r="59" spans="1:51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</row>
    <row r="60" spans="1:51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</row>
    <row r="61" spans="1:51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</row>
    <row r="62" spans="1:51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</row>
    <row r="63" spans="1:51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</row>
    <row r="64" spans="1:51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</row>
    <row r="65" spans="1:51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</row>
    <row r="66" spans="1:51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</row>
    <row r="67" spans="1:51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</row>
    <row r="68" spans="1:51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</row>
    <row r="69" spans="1:51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</row>
    <row r="70" spans="1:51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</row>
    <row r="71" spans="1:51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</row>
    <row r="72" spans="1:51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</row>
    <row r="73" spans="1:51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</row>
    <row r="74" spans="1:51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</row>
    <row r="75" spans="1:51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</row>
    <row r="76" spans="1:51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</row>
    <row r="77" spans="1:51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</row>
    <row r="78" spans="1:51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</row>
    <row r="79" spans="1:51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</row>
    <row r="80" spans="1:51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</row>
    <row r="81" spans="1:51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</row>
    <row r="82" spans="1:51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</row>
    <row r="83" spans="1:51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</row>
    <row r="84" spans="1:51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</row>
    <row r="85" spans="1:51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</row>
    <row r="86" spans="1:51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</row>
    <row r="87" spans="1:51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</row>
    <row r="88" spans="1:51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</row>
    <row r="89" spans="1:51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</row>
    <row r="90" spans="1:51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</row>
    <row r="91" spans="1:51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</row>
    <row r="92" spans="1:51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</row>
    <row r="93" spans="1:51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</row>
    <row r="94" spans="1:51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</row>
    <row r="95" spans="1:51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</row>
    <row r="96" spans="1:51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</row>
    <row r="97" spans="1:51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</row>
    <row r="98" spans="1:51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</row>
    <row r="99" spans="1:51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</row>
    <row r="100" spans="1:51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</row>
    <row r="101" spans="1:51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</row>
    <row r="102" spans="1:51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</row>
    <row r="103" spans="1:51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</row>
    <row r="104" spans="1:51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</row>
    <row r="105" spans="1:51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</row>
    <row r="106" spans="1:51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</row>
    <row r="107" spans="1:51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</row>
    <row r="108" spans="1:51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</row>
    <row r="109" spans="1:51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</row>
    <row r="110" spans="1:51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</row>
    <row r="111" spans="1:51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</row>
    <row r="112" spans="1:51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</row>
    <row r="113" spans="1:51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</row>
    <row r="114" spans="1:51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</row>
    <row r="115" spans="1:51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</row>
    <row r="116" spans="1:51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</row>
    <row r="117" spans="1:51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</row>
    <row r="118" spans="1:51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</row>
    <row r="119" spans="1:51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</row>
    <row r="120" spans="1:51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</row>
    <row r="121" spans="1:51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</row>
    <row r="122" spans="1:51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</row>
    <row r="123" spans="1:51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</row>
    <row r="124" spans="1:51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</row>
    <row r="125" spans="1:51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</row>
    <row r="126" spans="1:51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</row>
    <row r="127" spans="1:5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</row>
    <row r="128" spans="1:51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</row>
    <row r="129" spans="1:5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</row>
    <row r="130" spans="1:5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</row>
    <row r="131" spans="1:5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</row>
    <row r="132" spans="1:5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</row>
    <row r="133" spans="1:5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</row>
    <row r="134" spans="1:5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</row>
    <row r="135" spans="1:5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</row>
    <row r="136" spans="1:5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</row>
    <row r="137" spans="1:5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</row>
    <row r="138" spans="1:5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</row>
    <row r="139" spans="1:5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</row>
    <row r="140" spans="1:51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</row>
    <row r="141" spans="1:51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</row>
    <row r="142" spans="1:51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</row>
    <row r="143" spans="1:51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</row>
    <row r="144" spans="1:51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</row>
    <row r="145" spans="1:51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</row>
    <row r="146" spans="1:51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</row>
    <row r="147" spans="1:51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</row>
    <row r="148" spans="1:51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</row>
    <row r="149" spans="1:51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</row>
    <row r="150" spans="1:51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</row>
    <row r="151" spans="1:51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</row>
    <row r="152" spans="1:51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</row>
    <row r="153" spans="1:51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</row>
    <row r="154" spans="1:51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</row>
    <row r="155" spans="1:51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</row>
    <row r="156" spans="1:51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</row>
    <row r="157" spans="1:51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</row>
    <row r="158" spans="1:51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</row>
    <row r="159" spans="1:51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</row>
    <row r="160" spans="1:51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</row>
    <row r="161" spans="1:51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</row>
    <row r="162" spans="1:51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</row>
    <row r="163" spans="1:51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</row>
    <row r="164" spans="1:51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</row>
    <row r="165" spans="1:51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</row>
    <row r="166" spans="1:51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</row>
    <row r="167" spans="1:51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</row>
    <row r="168" spans="1:51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</row>
    <row r="169" spans="1:51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</row>
    <row r="170" spans="1:51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</row>
    <row r="171" spans="1:51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</row>
    <row r="172" spans="1:51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</row>
    <row r="173" spans="1:51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</row>
    <row r="174" spans="1:51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</row>
    <row r="175" spans="1:51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</row>
    <row r="176" spans="1:51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</row>
    <row r="177" spans="1:51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</row>
    <row r="178" spans="1:51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</row>
    <row r="179" spans="1:51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</row>
    <row r="180" spans="1:51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</row>
    <row r="181" spans="1:51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</row>
    <row r="182" spans="1:51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</row>
    <row r="183" spans="1:51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</row>
    <row r="184" spans="1:51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</row>
    <row r="185" spans="1:51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</row>
    <row r="186" spans="1:51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</row>
    <row r="187" spans="1:51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</row>
    <row r="188" spans="1:51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</row>
    <row r="189" spans="1:51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</row>
    <row r="190" spans="1:51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</row>
    <row r="191" spans="1:51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</row>
    <row r="192" spans="1:51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</row>
    <row r="193" spans="1:51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</row>
    <row r="194" spans="1:51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</row>
    <row r="195" spans="1:51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</row>
    <row r="196" spans="1:51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</row>
    <row r="197" spans="1:51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</row>
    <row r="198" spans="1:51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</row>
    <row r="199" spans="1:51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</row>
    <row r="200" spans="1:51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</row>
    <row r="201" spans="1:51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</row>
    <row r="202" spans="1:51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</row>
    <row r="203" spans="1:51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</row>
    <row r="204" spans="1:51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</row>
    <row r="205" spans="1:51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</row>
    <row r="206" spans="1:51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</row>
    <row r="207" spans="1:51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</row>
    <row r="208" spans="1:51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</row>
    <row r="209" spans="1:51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</row>
    <row r="210" spans="1:51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</row>
    <row r="211" spans="1:51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</row>
    <row r="212" spans="1:51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</row>
    <row r="213" spans="1:51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</row>
    <row r="214" spans="1:51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</row>
    <row r="215" spans="1:51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</row>
    <row r="216" spans="1:51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</row>
    <row r="217" spans="1:51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</row>
    <row r="218" spans="1:51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</row>
    <row r="219" spans="1:51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</row>
    <row r="220" spans="1:51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</row>
    <row r="221" spans="1:51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</row>
    <row r="222" spans="1:51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</row>
    <row r="223" spans="1:51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</row>
    <row r="224" spans="1:51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</row>
    <row r="225" spans="1:51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</row>
    <row r="226" spans="1:51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</row>
    <row r="227" spans="1:51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</row>
    <row r="228" spans="1:51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</row>
    <row r="229" spans="1:51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</row>
    <row r="230" spans="1:51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</row>
    <row r="231" spans="1:51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</row>
    <row r="232" spans="1:51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</row>
    <row r="233" spans="1:51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</row>
    <row r="234" spans="1:51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</row>
    <row r="235" spans="1:51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</row>
    <row r="236" spans="1:51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</row>
    <row r="237" spans="1:51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</row>
    <row r="238" spans="1:51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</row>
    <row r="239" spans="1:51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</row>
    <row r="240" spans="1:51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</row>
    <row r="241" spans="1:51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</row>
    <row r="242" spans="1:51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</row>
    <row r="243" spans="1:51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</row>
    <row r="244" spans="1:51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</row>
    <row r="245" spans="1:51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</row>
    <row r="246" spans="1:51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</row>
    <row r="247" spans="1:51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</row>
    <row r="248" spans="1:51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</row>
    <row r="249" spans="1:51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</row>
    <row r="250" spans="1:51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</row>
    <row r="251" spans="1:51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</row>
    <row r="252" spans="1:51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</row>
    <row r="253" spans="1:51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</row>
    <row r="254" spans="1:51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</row>
    <row r="255" spans="1:51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</row>
    <row r="256" spans="1:51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</row>
    <row r="257" spans="1:51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</row>
    <row r="258" spans="1:51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</row>
    <row r="259" spans="1:51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</row>
    <row r="260" spans="1:51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</row>
    <row r="261" spans="1:51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</row>
    <row r="262" spans="1:51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</row>
    <row r="263" spans="1:51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</row>
    <row r="264" spans="1:51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</row>
    <row r="265" spans="1:51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</row>
    <row r="266" spans="1:51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</row>
    <row r="267" spans="1:51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</row>
    <row r="268" spans="1:51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</row>
    <row r="269" spans="1:51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</row>
    <row r="270" spans="1:51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</row>
    <row r="271" spans="1:51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</row>
    <row r="272" spans="1:51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</row>
    <row r="273" spans="1:51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</row>
    <row r="274" spans="1:51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</row>
    <row r="275" spans="1:51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</row>
    <row r="276" spans="1:51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</row>
    <row r="277" spans="1:51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</row>
    <row r="278" spans="1:51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</row>
    <row r="279" spans="1:51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</row>
    <row r="280" spans="1:51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</row>
    <row r="281" spans="1:51" x14ac:dyDescent="0.2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</row>
    <row r="282" spans="1:51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</row>
    <row r="283" spans="1:51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</row>
    <row r="284" spans="1:51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</row>
    <row r="285" spans="1:51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</row>
    <row r="286" spans="1:51" x14ac:dyDescent="0.2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</row>
    <row r="287" spans="1:51" x14ac:dyDescent="0.2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</row>
    <row r="288" spans="1:51" x14ac:dyDescent="0.2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</row>
    <row r="289" spans="1:51" x14ac:dyDescent="0.2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</row>
    <row r="290" spans="1:51" x14ac:dyDescent="0.2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</row>
    <row r="291" spans="1:51" x14ac:dyDescent="0.2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</row>
    <row r="292" spans="1:51" x14ac:dyDescent="0.2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</row>
    <row r="293" spans="1:51" x14ac:dyDescent="0.2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</row>
    <row r="294" spans="1:51" x14ac:dyDescent="0.2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</row>
    <row r="295" spans="1:51" x14ac:dyDescent="0.2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</row>
    <row r="296" spans="1:51" x14ac:dyDescent="0.2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</row>
    <row r="297" spans="1:51" x14ac:dyDescent="0.2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</row>
    <row r="298" spans="1:51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</row>
    <row r="299" spans="1:51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</row>
    <row r="300" spans="1:51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</row>
    <row r="301" spans="1:51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</row>
    <row r="302" spans="1:51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</row>
    <row r="303" spans="1:51" x14ac:dyDescent="0.2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</row>
    <row r="304" spans="1:51" x14ac:dyDescent="0.2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</row>
    <row r="305" spans="1:51" x14ac:dyDescent="0.2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</row>
    <row r="306" spans="1:51" x14ac:dyDescent="0.2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</row>
    <row r="307" spans="1:51" x14ac:dyDescent="0.2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</row>
    <row r="308" spans="1:51" x14ac:dyDescent="0.2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</row>
    <row r="309" spans="1:51" x14ac:dyDescent="0.2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</row>
    <row r="310" spans="1:51" x14ac:dyDescent="0.2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</row>
    <row r="311" spans="1:51" x14ac:dyDescent="0.2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</row>
    <row r="312" spans="1:51" x14ac:dyDescent="0.2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</row>
    <row r="313" spans="1:51" x14ac:dyDescent="0.2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</row>
    <row r="314" spans="1:51" x14ac:dyDescent="0.2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</row>
    <row r="315" spans="1:51" x14ac:dyDescent="0.2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</row>
    <row r="316" spans="1:51" x14ac:dyDescent="0.2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</row>
    <row r="317" spans="1:51" x14ac:dyDescent="0.2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</row>
    <row r="318" spans="1:51" x14ac:dyDescent="0.2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</row>
    <row r="319" spans="1:51" x14ac:dyDescent="0.2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</row>
    <row r="320" spans="1:51" x14ac:dyDescent="0.2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</row>
    <row r="321" spans="1:51" x14ac:dyDescent="0.2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</row>
    <row r="322" spans="1:51" x14ac:dyDescent="0.2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</row>
    <row r="323" spans="1:51" x14ac:dyDescent="0.2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</row>
    <row r="324" spans="1:51" x14ac:dyDescent="0.2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</row>
    <row r="325" spans="1:51" x14ac:dyDescent="0.2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</row>
    <row r="326" spans="1:51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</row>
    <row r="327" spans="1:51" x14ac:dyDescent="0.2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</row>
    <row r="328" spans="1:51" x14ac:dyDescent="0.2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</row>
    <row r="329" spans="1:51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</row>
    <row r="330" spans="1:51" x14ac:dyDescent="0.2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</row>
    <row r="331" spans="1:51" x14ac:dyDescent="0.2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</row>
    <row r="332" spans="1:51" x14ac:dyDescent="0.2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</row>
    <row r="333" spans="1:51" x14ac:dyDescent="0.2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</row>
    <row r="334" spans="1:51" x14ac:dyDescent="0.2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</row>
    <row r="335" spans="1:51" x14ac:dyDescent="0.2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</row>
    <row r="336" spans="1:51" x14ac:dyDescent="0.2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</row>
    <row r="337" spans="1:51" x14ac:dyDescent="0.2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</row>
    <row r="338" spans="1:51" x14ac:dyDescent="0.2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</row>
    <row r="339" spans="1:51" x14ac:dyDescent="0.2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</row>
    <row r="340" spans="1:51" x14ac:dyDescent="0.2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</row>
    <row r="341" spans="1:51" x14ac:dyDescent="0.2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</row>
    <row r="342" spans="1:51" x14ac:dyDescent="0.2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</row>
    <row r="343" spans="1:51" x14ac:dyDescent="0.2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</row>
    <row r="344" spans="1:51" x14ac:dyDescent="0.2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</row>
    <row r="345" spans="1:51" x14ac:dyDescent="0.2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</row>
    <row r="346" spans="1:51" x14ac:dyDescent="0.2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</row>
    <row r="347" spans="1:5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</row>
    <row r="348" spans="1:5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</row>
    <row r="349" spans="1:5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</row>
    <row r="350" spans="1:5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</row>
    <row r="351" spans="1:51" x14ac:dyDescent="0.2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</row>
    <row r="352" spans="1:51" x14ac:dyDescent="0.2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</row>
    <row r="353" spans="1:51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</row>
    <row r="354" spans="1:51" x14ac:dyDescent="0.2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</row>
    <row r="355" spans="1:51" x14ac:dyDescent="0.2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</row>
    <row r="356" spans="1:51" x14ac:dyDescent="0.2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</row>
    <row r="357" spans="1:51" x14ac:dyDescent="0.2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</row>
    <row r="358" spans="1:51" x14ac:dyDescent="0.2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</row>
    <row r="359" spans="1:51" x14ac:dyDescent="0.2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</row>
    <row r="360" spans="1:51" x14ac:dyDescent="0.2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15"/>
    </row>
    <row r="361" spans="1:51" x14ac:dyDescent="0.2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15"/>
    </row>
    <row r="362" spans="1:51" x14ac:dyDescent="0.2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15"/>
    </row>
    <row r="363" spans="1:51" x14ac:dyDescent="0.2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15"/>
    </row>
    <row r="364" spans="1:51" x14ac:dyDescent="0.2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</row>
    <row r="365" spans="1:51" x14ac:dyDescent="0.2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15"/>
    </row>
    <row r="366" spans="1:51" x14ac:dyDescent="0.2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15"/>
    </row>
    <row r="367" spans="1:51" x14ac:dyDescent="0.2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15"/>
    </row>
    <row r="368" spans="1:51" x14ac:dyDescent="0.2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15"/>
    </row>
    <row r="369" spans="1:51" x14ac:dyDescent="0.2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15"/>
    </row>
    <row r="370" spans="1:51" x14ac:dyDescent="0.2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15"/>
    </row>
    <row r="371" spans="1:51" x14ac:dyDescent="0.2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15"/>
    </row>
    <row r="372" spans="1:51" x14ac:dyDescent="0.2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15"/>
    </row>
    <row r="373" spans="1:51" x14ac:dyDescent="0.2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15"/>
    </row>
    <row r="374" spans="1:51" x14ac:dyDescent="0.2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15"/>
    </row>
    <row r="375" spans="1:51" x14ac:dyDescent="0.2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15"/>
    </row>
    <row r="376" spans="1:51" x14ac:dyDescent="0.2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15"/>
    </row>
    <row r="377" spans="1:51" x14ac:dyDescent="0.2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15"/>
    </row>
    <row r="378" spans="1:51" x14ac:dyDescent="0.2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15"/>
    </row>
    <row r="379" spans="1:51" x14ac:dyDescent="0.2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15"/>
    </row>
    <row r="380" spans="1:51" x14ac:dyDescent="0.2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15"/>
    </row>
    <row r="381" spans="1:51" x14ac:dyDescent="0.2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15"/>
    </row>
    <row r="382" spans="1:51" x14ac:dyDescent="0.2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15"/>
    </row>
    <row r="383" spans="1:51" x14ac:dyDescent="0.2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15"/>
    </row>
    <row r="384" spans="1:51" x14ac:dyDescent="0.2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15"/>
    </row>
    <row r="385" spans="1:51" x14ac:dyDescent="0.2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15"/>
    </row>
    <row r="386" spans="1:51" x14ac:dyDescent="0.2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15"/>
    </row>
    <row r="387" spans="1:51" x14ac:dyDescent="0.2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15"/>
    </row>
    <row r="388" spans="1:51" x14ac:dyDescent="0.2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15"/>
    </row>
    <row r="389" spans="1:51" x14ac:dyDescent="0.2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15"/>
    </row>
    <row r="390" spans="1:51" x14ac:dyDescent="0.2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15"/>
    </row>
    <row r="391" spans="1:51" x14ac:dyDescent="0.2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15"/>
    </row>
    <row r="392" spans="1:51" x14ac:dyDescent="0.2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</row>
    <row r="393" spans="1:51" x14ac:dyDescent="0.2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15"/>
    </row>
    <row r="394" spans="1:51" x14ac:dyDescent="0.2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15"/>
    </row>
    <row r="395" spans="1:51" x14ac:dyDescent="0.2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15"/>
    </row>
    <row r="396" spans="1:51" x14ac:dyDescent="0.2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</row>
    <row r="397" spans="1:51" x14ac:dyDescent="0.2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15"/>
    </row>
    <row r="398" spans="1:51" x14ac:dyDescent="0.2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15"/>
    </row>
    <row r="399" spans="1:51" x14ac:dyDescent="0.2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</row>
    <row r="400" spans="1:51" x14ac:dyDescent="0.2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</row>
    <row r="401" spans="1:51" x14ac:dyDescent="0.2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15"/>
    </row>
    <row r="402" spans="1:51" x14ac:dyDescent="0.2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15"/>
    </row>
    <row r="403" spans="1:51" x14ac:dyDescent="0.2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15"/>
    </row>
    <row r="404" spans="1:51" x14ac:dyDescent="0.2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15"/>
    </row>
    <row r="405" spans="1:51" x14ac:dyDescent="0.2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15"/>
    </row>
    <row r="406" spans="1:51" x14ac:dyDescent="0.2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15"/>
    </row>
    <row r="407" spans="1:51" x14ac:dyDescent="0.2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15"/>
    </row>
    <row r="408" spans="1:51" x14ac:dyDescent="0.2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15"/>
    </row>
    <row r="409" spans="1:51" x14ac:dyDescent="0.2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15"/>
    </row>
    <row r="410" spans="1:51" x14ac:dyDescent="0.2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15"/>
    </row>
    <row r="411" spans="1:51" x14ac:dyDescent="0.2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15"/>
    </row>
    <row r="412" spans="1:51" x14ac:dyDescent="0.2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15"/>
    </row>
    <row r="413" spans="1:51" x14ac:dyDescent="0.2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15"/>
    </row>
    <row r="414" spans="1:51" x14ac:dyDescent="0.2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15"/>
    </row>
    <row r="415" spans="1:51" x14ac:dyDescent="0.2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15"/>
    </row>
    <row r="416" spans="1:51" x14ac:dyDescent="0.2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15"/>
    </row>
    <row r="417" spans="1:51" x14ac:dyDescent="0.2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15"/>
    </row>
    <row r="418" spans="1:51" x14ac:dyDescent="0.2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15"/>
    </row>
    <row r="419" spans="1:51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15"/>
    </row>
    <row r="420" spans="1:51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15"/>
    </row>
    <row r="421" spans="1:51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15"/>
    </row>
    <row r="422" spans="1:51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15"/>
    </row>
    <row r="423" spans="1:51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15"/>
    </row>
    <row r="424" spans="1:51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15"/>
    </row>
    <row r="425" spans="1:51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15"/>
    </row>
    <row r="426" spans="1:51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15"/>
    </row>
    <row r="427" spans="1:51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15"/>
    </row>
    <row r="428" spans="1:51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15"/>
    </row>
    <row r="429" spans="1:51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15"/>
    </row>
    <row r="430" spans="1:51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15"/>
    </row>
    <row r="431" spans="1:51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15"/>
    </row>
    <row r="432" spans="1:51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15"/>
    </row>
    <row r="433" spans="1:51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15"/>
    </row>
    <row r="434" spans="1:51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15"/>
    </row>
    <row r="435" spans="1:51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15"/>
    </row>
    <row r="436" spans="1:51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15"/>
    </row>
    <row r="437" spans="1:51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15"/>
    </row>
    <row r="438" spans="1:51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</row>
    <row r="439" spans="1:51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15"/>
    </row>
    <row r="440" spans="1:51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15"/>
    </row>
    <row r="441" spans="1:51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15"/>
    </row>
    <row r="442" spans="1:51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15"/>
    </row>
    <row r="443" spans="1:51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15"/>
    </row>
    <row r="444" spans="1:51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15"/>
    </row>
    <row r="445" spans="1:51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15"/>
    </row>
    <row r="446" spans="1:51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15"/>
    </row>
    <row r="447" spans="1:51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15"/>
    </row>
    <row r="448" spans="1:51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15"/>
    </row>
    <row r="449" spans="1:51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15"/>
    </row>
    <row r="450" spans="1:51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15"/>
    </row>
    <row r="451" spans="1:51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15"/>
    </row>
    <row r="452" spans="1:51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15"/>
    </row>
    <row r="453" spans="1:51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15"/>
    </row>
    <row r="454" spans="1:51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15"/>
    </row>
    <row r="455" spans="1:51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15"/>
    </row>
    <row r="456" spans="1:51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15"/>
    </row>
    <row r="457" spans="1:51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15"/>
    </row>
    <row r="458" spans="1:51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15"/>
    </row>
    <row r="459" spans="1:51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15"/>
    </row>
    <row r="460" spans="1:51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15"/>
    </row>
    <row r="461" spans="1:51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15"/>
    </row>
    <row r="462" spans="1:51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15"/>
    </row>
    <row r="463" spans="1:51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15"/>
    </row>
    <row r="464" spans="1:51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15"/>
    </row>
    <row r="465" spans="1:51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</row>
    <row r="466" spans="1:51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15"/>
    </row>
    <row r="467" spans="1:51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15"/>
    </row>
    <row r="468" spans="1:51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15"/>
    </row>
    <row r="469" spans="1:51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15"/>
    </row>
    <row r="470" spans="1:51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15"/>
    </row>
    <row r="471" spans="1:51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15"/>
    </row>
    <row r="472" spans="1:51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15"/>
    </row>
    <row r="473" spans="1:51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15"/>
    </row>
    <row r="474" spans="1:51" x14ac:dyDescent="0.2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15"/>
    </row>
    <row r="475" spans="1:51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15"/>
    </row>
    <row r="476" spans="1:51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15"/>
    </row>
    <row r="477" spans="1:51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15"/>
    </row>
    <row r="478" spans="1:51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15"/>
    </row>
    <row r="479" spans="1:51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15"/>
    </row>
    <row r="480" spans="1:51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15"/>
    </row>
    <row r="481" spans="1:51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15"/>
    </row>
    <row r="482" spans="1:51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15"/>
    </row>
    <row r="483" spans="1:51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15"/>
    </row>
    <row r="484" spans="1:51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15"/>
    </row>
    <row r="485" spans="1:51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15"/>
    </row>
    <row r="486" spans="1:51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15"/>
    </row>
    <row r="487" spans="1:51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15"/>
    </row>
    <row r="488" spans="1:51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15"/>
    </row>
    <row r="489" spans="1:51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15"/>
    </row>
    <row r="490" spans="1:51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15"/>
    </row>
    <row r="491" spans="1:51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15"/>
    </row>
    <row r="492" spans="1:51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15"/>
    </row>
    <row r="493" spans="1:51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15"/>
    </row>
    <row r="494" spans="1:51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15"/>
    </row>
    <row r="495" spans="1:51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15"/>
    </row>
    <row r="496" spans="1:51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15"/>
    </row>
    <row r="497" spans="1:51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15"/>
    </row>
    <row r="498" spans="1:51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15"/>
    </row>
    <row r="499" spans="1:51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15"/>
    </row>
    <row r="500" spans="1:51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</row>
    <row r="501" spans="1:51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15"/>
    </row>
    <row r="502" spans="1:51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15"/>
    </row>
    <row r="503" spans="1:51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15"/>
    </row>
    <row r="504" spans="1:51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15"/>
    </row>
    <row r="505" spans="1:51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15"/>
    </row>
    <row r="506" spans="1:51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15"/>
    </row>
    <row r="507" spans="1:51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15"/>
    </row>
    <row r="508" spans="1:51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15"/>
    </row>
    <row r="509" spans="1:51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15"/>
    </row>
    <row r="510" spans="1:51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15"/>
    </row>
    <row r="511" spans="1:51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15"/>
    </row>
    <row r="512" spans="1:51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15"/>
    </row>
    <row r="513" spans="1:51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</row>
    <row r="514" spans="1:51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  <c r="AG514" s="15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15"/>
    </row>
    <row r="515" spans="1:51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  <c r="AG515" s="15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15"/>
    </row>
    <row r="516" spans="1:51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  <c r="AG516" s="15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15"/>
    </row>
    <row r="517" spans="1:51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15"/>
    </row>
    <row r="518" spans="1:51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  <c r="AG518" s="15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15"/>
    </row>
    <row r="519" spans="1:51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15"/>
    </row>
    <row r="520" spans="1:51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15"/>
    </row>
    <row r="521" spans="1:51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15"/>
    </row>
    <row r="522" spans="1:51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  <c r="AG522" s="15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15"/>
    </row>
    <row r="523" spans="1:51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15"/>
    </row>
    <row r="524" spans="1:51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  <c r="AG524" s="15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15"/>
    </row>
    <row r="525" spans="1:51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15"/>
    </row>
    <row r="526" spans="1:51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  <c r="AG526" s="15"/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  <c r="AX526" s="15"/>
      <c r="AY526" s="15"/>
    </row>
    <row r="527" spans="1:51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  <c r="AG527" s="15"/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  <c r="AX527" s="15"/>
      <c r="AY527" s="15"/>
    </row>
    <row r="528" spans="1:51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  <c r="AG528" s="15"/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  <c r="AX528" s="15"/>
      <c r="AY528" s="15"/>
    </row>
    <row r="529" spans="1:51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  <c r="AG529" s="15"/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  <c r="AX529" s="15"/>
      <c r="AY529" s="15"/>
    </row>
    <row r="530" spans="1:51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  <c r="AG530" s="15"/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  <c r="AX530" s="15"/>
      <c r="AY530" s="15"/>
    </row>
    <row r="531" spans="1:51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  <c r="AG531" s="15"/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  <c r="AX531" s="15"/>
      <c r="AY531" s="15"/>
    </row>
    <row r="532" spans="1:51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  <c r="AG532" s="15"/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  <c r="AX532" s="15"/>
      <c r="AY532" s="15"/>
    </row>
    <row r="533" spans="1:51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  <c r="AG533" s="15"/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  <c r="AX533" s="15"/>
      <c r="AY533" s="15"/>
    </row>
    <row r="534" spans="1:51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  <c r="AG534" s="15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  <c r="AX534" s="15"/>
      <c r="AY534" s="15"/>
    </row>
    <row r="535" spans="1:51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  <c r="AG535" s="15"/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  <c r="AX535" s="15"/>
      <c r="AY535" s="15"/>
    </row>
    <row r="536" spans="1:51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  <c r="AG536" s="15"/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  <c r="AX536" s="15"/>
      <c r="AY536" s="15"/>
    </row>
    <row r="537" spans="1:51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  <c r="AG537" s="15"/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  <c r="AX537" s="15"/>
      <c r="AY537" s="15"/>
    </row>
    <row r="538" spans="1:51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  <c r="AG538" s="15"/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  <c r="AX538" s="15"/>
      <c r="AY538" s="15"/>
    </row>
    <row r="539" spans="1:51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  <c r="AG539" s="15"/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  <c r="AX539" s="15"/>
      <c r="AY539" s="15"/>
    </row>
    <row r="540" spans="1:51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  <c r="AG540" s="15"/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  <c r="AX540" s="15"/>
      <c r="AY540" s="15"/>
    </row>
    <row r="541" spans="1:51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  <c r="AG541" s="15"/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  <c r="AX541" s="15"/>
      <c r="AY541" s="15"/>
    </row>
    <row r="542" spans="1:51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  <c r="AG542" s="15"/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  <c r="AX542" s="15"/>
      <c r="AY542" s="15"/>
    </row>
    <row r="543" spans="1:51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  <c r="AG543" s="15"/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  <c r="AX543" s="15"/>
      <c r="AY543" s="15"/>
    </row>
    <row r="544" spans="1:51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  <c r="AG544" s="15"/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  <c r="AX544" s="15"/>
      <c r="AY544" s="15"/>
    </row>
    <row r="545" spans="1:51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  <c r="AG545" s="15"/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  <c r="AX545" s="15"/>
      <c r="AY545" s="15"/>
    </row>
    <row r="546" spans="1:51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  <c r="AG546" s="15"/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  <c r="AX546" s="15"/>
      <c r="AY546" s="15"/>
    </row>
    <row r="547" spans="1:51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  <c r="AG547" s="15"/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  <c r="AX547" s="15"/>
      <c r="AY547" s="15"/>
    </row>
    <row r="548" spans="1:51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  <c r="AG548" s="15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15"/>
    </row>
    <row r="549" spans="1:51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  <c r="AG549" s="15"/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  <c r="AX549" s="15"/>
      <c r="AY549" s="15"/>
    </row>
    <row r="550" spans="1:51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  <c r="AG550" s="15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15"/>
    </row>
    <row r="551" spans="1:51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  <c r="AG551" s="15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15"/>
    </row>
    <row r="552" spans="1:51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  <c r="AG552" s="15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15"/>
    </row>
    <row r="553" spans="1:51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  <c r="AG553" s="15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15"/>
    </row>
    <row r="554" spans="1:51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  <c r="AG554" s="15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15"/>
    </row>
    <row r="555" spans="1:51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  <c r="AG555" s="15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15"/>
    </row>
    <row r="556" spans="1:51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  <c r="AG556" s="15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15"/>
    </row>
    <row r="557" spans="1:51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  <c r="AG557" s="15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15"/>
    </row>
    <row r="558" spans="1:51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  <c r="AG558" s="15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15"/>
    </row>
    <row r="559" spans="1:51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15"/>
    </row>
    <row r="560" spans="1:51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15"/>
    </row>
    <row r="561" spans="1:51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  <c r="AG561" s="15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15"/>
    </row>
    <row r="562" spans="1:51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15"/>
    </row>
    <row r="563" spans="1:51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15"/>
    </row>
    <row r="564" spans="1:51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15"/>
    </row>
    <row r="565" spans="1:51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15"/>
    </row>
    <row r="566" spans="1:51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15"/>
    </row>
    <row r="567" spans="1:51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15"/>
    </row>
    <row r="568" spans="1:51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15"/>
    </row>
    <row r="569" spans="1:51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15"/>
    </row>
    <row r="570" spans="1:51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15"/>
    </row>
    <row r="571" spans="1:51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15"/>
    </row>
    <row r="572" spans="1:51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15"/>
    </row>
    <row r="573" spans="1:51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15"/>
    </row>
    <row r="574" spans="1:51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15"/>
    </row>
    <row r="575" spans="1:51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15"/>
    </row>
    <row r="576" spans="1:51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15"/>
    </row>
    <row r="577" spans="1:51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15"/>
    </row>
    <row r="578" spans="1:51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  <c r="AG578" s="15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15"/>
    </row>
    <row r="579" spans="1:51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  <c r="AG579" s="15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15"/>
    </row>
    <row r="580" spans="1:51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  <c r="AG580" s="15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15"/>
    </row>
    <row r="581" spans="1:51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  <c r="AG581" s="15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15"/>
    </row>
    <row r="582" spans="1:51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  <c r="AG582" s="15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15"/>
    </row>
    <row r="583" spans="1:51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  <c r="AG583" s="15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15"/>
    </row>
    <row r="584" spans="1:51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  <c r="AG584" s="15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15"/>
    </row>
    <row r="585" spans="1:51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  <c r="AG585" s="15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15"/>
    </row>
    <row r="586" spans="1:51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15"/>
    </row>
    <row r="587" spans="1:51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  <c r="AG587" s="15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15"/>
    </row>
    <row r="588" spans="1:51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  <c r="AG588" s="15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15"/>
    </row>
    <row r="589" spans="1:51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  <c r="AG589" s="15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15"/>
    </row>
    <row r="590" spans="1:51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  <c r="AG590" s="15"/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  <c r="AX590" s="15"/>
      <c r="AY590" s="15"/>
    </row>
    <row r="591" spans="1:51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  <c r="AG591" s="15"/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  <c r="AX591" s="15"/>
      <c r="AY591" s="15"/>
    </row>
    <row r="592" spans="1:51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  <c r="AG592" s="15"/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  <c r="AX592" s="15"/>
      <c r="AY592" s="15"/>
    </row>
    <row r="593" spans="1:51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  <c r="AG593" s="15"/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  <c r="AX593" s="15"/>
      <c r="AY593" s="15"/>
    </row>
    <row r="594" spans="1:51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  <c r="AG594" s="15"/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  <c r="AX594" s="15"/>
      <c r="AY594" s="15"/>
    </row>
    <row r="595" spans="1:51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  <c r="AG595" s="15"/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  <c r="AX595" s="15"/>
      <c r="AY595" s="15"/>
    </row>
    <row r="596" spans="1:51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  <c r="AG596" s="15"/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  <c r="AX596" s="15"/>
      <c r="AY596" s="15"/>
    </row>
    <row r="597" spans="1:51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  <c r="AG597" s="15"/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  <c r="AX597" s="15"/>
      <c r="AY597" s="15"/>
    </row>
    <row r="598" spans="1:51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  <c r="AG598" s="15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15"/>
    </row>
    <row r="599" spans="1:51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  <c r="AG599" s="15"/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  <c r="AX599" s="15"/>
      <c r="AY599" s="15"/>
    </row>
    <row r="600" spans="1:51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  <c r="AG600" s="15"/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  <c r="AX600" s="15"/>
      <c r="AY600" s="15"/>
    </row>
    <row r="601" spans="1:51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  <c r="AG601" s="15"/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  <c r="AX601" s="15"/>
      <c r="AY601" s="15"/>
    </row>
    <row r="602" spans="1:51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15"/>
    </row>
    <row r="603" spans="1:51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15"/>
    </row>
    <row r="604" spans="1:51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  <c r="AX604" s="15"/>
      <c r="AY604" s="15"/>
    </row>
    <row r="605" spans="1:51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  <c r="AX605" s="15"/>
      <c r="AY605" s="15"/>
    </row>
    <row r="606" spans="1:51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15"/>
    </row>
    <row r="607" spans="1:51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  <c r="AG607" s="15"/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  <c r="AX607" s="15"/>
      <c r="AY607" s="15"/>
    </row>
    <row r="608" spans="1:51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15"/>
    </row>
    <row r="609" spans="1:51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15"/>
    </row>
    <row r="610" spans="1:51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  <c r="AX610" s="15"/>
      <c r="AY610" s="15"/>
    </row>
    <row r="611" spans="1:51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15"/>
    </row>
    <row r="612" spans="1:51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  <c r="AG612" s="15"/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  <c r="AX612" s="15"/>
      <c r="AY612" s="15"/>
    </row>
    <row r="613" spans="1:51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15"/>
    </row>
    <row r="614" spans="1:51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15"/>
    </row>
    <row r="615" spans="1:51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15"/>
    </row>
    <row r="616" spans="1:51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15"/>
    </row>
    <row r="617" spans="1:51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15"/>
    </row>
    <row r="618" spans="1:51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15"/>
    </row>
    <row r="619" spans="1:51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15"/>
    </row>
    <row r="620" spans="1:51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  <c r="AG620" s="15"/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  <c r="AX620" s="15"/>
      <c r="AY620" s="15"/>
    </row>
    <row r="621" spans="1:51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  <c r="AG621" s="15"/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  <c r="AX621" s="15"/>
      <c r="AY621" s="15"/>
    </row>
    <row r="622" spans="1:51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  <c r="AG622" s="15"/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  <c r="AX622" s="15"/>
      <c r="AY622" s="15"/>
    </row>
    <row r="623" spans="1:51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  <c r="AG623" s="15"/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  <c r="AX623" s="15"/>
      <c r="AY623" s="15"/>
    </row>
    <row r="624" spans="1:51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  <c r="AG624" s="15"/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  <c r="AX624" s="15"/>
      <c r="AY624" s="15"/>
    </row>
    <row r="625" spans="1:51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  <c r="AG625" s="15"/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  <c r="AX625" s="15"/>
      <c r="AY625" s="15"/>
    </row>
    <row r="626" spans="1:51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15"/>
    </row>
    <row r="627" spans="1:51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  <c r="AG627" s="15"/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  <c r="AX627" s="15"/>
      <c r="AY627" s="15"/>
    </row>
    <row r="628" spans="1:51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  <c r="AG628" s="15"/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  <c r="AX628" s="15"/>
      <c r="AY628" s="15"/>
    </row>
    <row r="629" spans="1:51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  <c r="AG629" s="15"/>
      <c r="AH629" s="15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  <c r="AS629" s="15"/>
      <c r="AT629" s="15"/>
      <c r="AU629" s="15"/>
      <c r="AV629" s="15"/>
      <c r="AW629" s="15"/>
      <c r="AX629" s="15"/>
      <c r="AY629" s="15"/>
    </row>
    <row r="630" spans="1:51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  <c r="AG630" s="15"/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  <c r="AX630" s="15"/>
      <c r="AY630" s="15"/>
    </row>
    <row r="631" spans="1:51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  <c r="AG631" s="15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15"/>
    </row>
    <row r="632" spans="1:51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  <c r="AG632" s="15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15"/>
    </row>
    <row r="633" spans="1:51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  <c r="AG633" s="15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15"/>
    </row>
    <row r="634" spans="1:51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  <c r="AG634" s="15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15"/>
    </row>
    <row r="635" spans="1:51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  <c r="AG635" s="15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15"/>
    </row>
    <row r="636" spans="1:51" x14ac:dyDescent="0.2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  <c r="AG636" s="15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15"/>
    </row>
    <row r="637" spans="1:51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  <c r="AG637" s="15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15"/>
    </row>
    <row r="638" spans="1:51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  <c r="AG638" s="15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15"/>
    </row>
    <row r="639" spans="1:51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  <c r="AG639" s="15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15"/>
    </row>
    <row r="640" spans="1:51" x14ac:dyDescent="0.2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15"/>
    </row>
    <row r="641" spans="1:51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  <c r="AX641" s="15"/>
      <c r="AY641" s="15"/>
    </row>
    <row r="642" spans="1:51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  <c r="AX642" s="15"/>
      <c r="AY642" s="15"/>
    </row>
    <row r="643" spans="1:51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  <c r="AX643" s="15"/>
      <c r="AY643" s="15"/>
    </row>
    <row r="644" spans="1:51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  <c r="AX644" s="15"/>
      <c r="AY644" s="15"/>
    </row>
    <row r="645" spans="1:51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  <c r="AX645" s="15"/>
      <c r="AY645" s="15"/>
    </row>
    <row r="646" spans="1:51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  <c r="AX646" s="15"/>
      <c r="AY646" s="15"/>
    </row>
    <row r="647" spans="1:51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  <c r="AX647" s="15"/>
      <c r="AY647" s="15"/>
    </row>
    <row r="648" spans="1:51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  <c r="AX648" s="15"/>
      <c r="AY648" s="15"/>
    </row>
    <row r="649" spans="1:51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  <c r="AX649" s="15"/>
      <c r="AY649" s="15"/>
    </row>
    <row r="650" spans="1:51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  <c r="AX650" s="15"/>
      <c r="AY650" s="15"/>
    </row>
    <row r="651" spans="1:51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  <c r="AX651" s="15"/>
      <c r="AY651" s="15"/>
    </row>
    <row r="652" spans="1:51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  <c r="AG652" s="15"/>
      <c r="AH652" s="15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  <c r="AS652" s="15"/>
      <c r="AT652" s="15"/>
      <c r="AU652" s="15"/>
      <c r="AV652" s="15"/>
      <c r="AW652" s="15"/>
      <c r="AX652" s="15"/>
      <c r="AY652" s="15"/>
    </row>
    <row r="653" spans="1:51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  <c r="AG653" s="15"/>
      <c r="AH653" s="15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  <c r="AS653" s="15"/>
      <c r="AT653" s="15"/>
      <c r="AU653" s="15"/>
      <c r="AV653" s="15"/>
      <c r="AW653" s="15"/>
      <c r="AX653" s="15"/>
      <c r="AY653" s="15"/>
    </row>
    <row r="654" spans="1:51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  <c r="AG654" s="15"/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  <c r="AS654" s="15"/>
      <c r="AT654" s="15"/>
      <c r="AU654" s="15"/>
      <c r="AV654" s="15"/>
      <c r="AW654" s="15"/>
      <c r="AX654" s="15"/>
      <c r="AY654" s="15"/>
    </row>
    <row r="655" spans="1:51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  <c r="AG655" s="15"/>
      <c r="AH655" s="15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  <c r="AS655" s="15"/>
      <c r="AT655" s="15"/>
      <c r="AU655" s="15"/>
      <c r="AV655" s="15"/>
      <c r="AW655" s="15"/>
      <c r="AX655" s="15"/>
      <c r="AY655" s="15"/>
    </row>
    <row r="656" spans="1:51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  <c r="AG656" s="15"/>
      <c r="AH656" s="15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  <c r="AS656" s="15"/>
      <c r="AT656" s="15"/>
      <c r="AU656" s="15"/>
      <c r="AV656" s="15"/>
      <c r="AW656" s="15"/>
      <c r="AX656" s="15"/>
      <c r="AY656" s="15"/>
    </row>
    <row r="657" spans="1:51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  <c r="AG657" s="15"/>
      <c r="AH657" s="15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  <c r="AS657" s="15"/>
      <c r="AT657" s="15"/>
      <c r="AU657" s="15"/>
      <c r="AV657" s="15"/>
      <c r="AW657" s="15"/>
      <c r="AX657" s="15"/>
      <c r="AY657" s="15"/>
    </row>
    <row r="658" spans="1:51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  <c r="AG658" s="15"/>
      <c r="AH658" s="15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  <c r="AS658" s="15"/>
      <c r="AT658" s="15"/>
      <c r="AU658" s="15"/>
      <c r="AV658" s="15"/>
      <c r="AW658" s="15"/>
      <c r="AX658" s="15"/>
      <c r="AY658" s="15"/>
    </row>
    <row r="659" spans="1:51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  <c r="AG659" s="15"/>
      <c r="AH659" s="15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  <c r="AS659" s="15"/>
      <c r="AT659" s="15"/>
      <c r="AU659" s="15"/>
      <c r="AV659" s="15"/>
      <c r="AW659" s="15"/>
      <c r="AX659" s="15"/>
      <c r="AY659" s="15"/>
    </row>
    <row r="660" spans="1:51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  <c r="AG660" s="15"/>
      <c r="AH660" s="15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  <c r="AS660" s="15"/>
      <c r="AT660" s="15"/>
      <c r="AU660" s="15"/>
      <c r="AV660" s="15"/>
      <c r="AW660" s="15"/>
      <c r="AX660" s="15"/>
      <c r="AY660" s="15"/>
    </row>
    <row r="661" spans="1:51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  <c r="AG661" s="15"/>
      <c r="AH661" s="15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  <c r="AS661" s="15"/>
      <c r="AT661" s="15"/>
      <c r="AU661" s="15"/>
      <c r="AV661" s="15"/>
      <c r="AW661" s="15"/>
      <c r="AX661" s="15"/>
      <c r="AY661" s="15"/>
    </row>
    <row r="662" spans="1:51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  <c r="AG662" s="15"/>
      <c r="AH662" s="15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  <c r="AS662" s="15"/>
      <c r="AT662" s="15"/>
      <c r="AU662" s="15"/>
      <c r="AV662" s="15"/>
      <c r="AW662" s="15"/>
      <c r="AX662" s="15"/>
      <c r="AY662" s="15"/>
    </row>
    <row r="663" spans="1:51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  <c r="AG663" s="15"/>
      <c r="AH663" s="15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  <c r="AS663" s="15"/>
      <c r="AT663" s="15"/>
      <c r="AU663" s="15"/>
      <c r="AV663" s="15"/>
      <c r="AW663" s="15"/>
      <c r="AX663" s="15"/>
      <c r="AY663" s="15"/>
    </row>
    <row r="664" spans="1:51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  <c r="AG664" s="15"/>
      <c r="AH664" s="15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  <c r="AS664" s="15"/>
      <c r="AT664" s="15"/>
      <c r="AU664" s="15"/>
      <c r="AV664" s="15"/>
      <c r="AW664" s="15"/>
      <c r="AX664" s="15"/>
      <c r="AY664" s="15"/>
    </row>
    <row r="665" spans="1:51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  <c r="AG665" s="15"/>
      <c r="AH665" s="15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  <c r="AS665" s="15"/>
      <c r="AT665" s="15"/>
      <c r="AU665" s="15"/>
      <c r="AV665" s="15"/>
      <c r="AW665" s="15"/>
      <c r="AX665" s="15"/>
      <c r="AY665" s="15"/>
    </row>
    <row r="666" spans="1:51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  <c r="AG666" s="15"/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  <c r="AS666" s="15"/>
      <c r="AT666" s="15"/>
      <c r="AU666" s="15"/>
      <c r="AV666" s="15"/>
      <c r="AW666" s="15"/>
      <c r="AX666" s="15"/>
      <c r="AY666" s="15"/>
    </row>
    <row r="667" spans="1:51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  <c r="AG667" s="15"/>
      <c r="AH667" s="15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  <c r="AS667" s="15"/>
      <c r="AT667" s="15"/>
      <c r="AU667" s="15"/>
      <c r="AV667" s="15"/>
      <c r="AW667" s="15"/>
      <c r="AX667" s="15"/>
      <c r="AY667" s="15"/>
    </row>
    <row r="668" spans="1:51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  <c r="AG668" s="15"/>
      <c r="AH668" s="15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  <c r="AS668" s="15"/>
      <c r="AT668" s="15"/>
      <c r="AU668" s="15"/>
      <c r="AV668" s="15"/>
      <c r="AW668" s="15"/>
      <c r="AX668" s="15"/>
      <c r="AY668" s="15"/>
    </row>
    <row r="669" spans="1:51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  <c r="AG669" s="15"/>
      <c r="AH669" s="15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  <c r="AS669" s="15"/>
      <c r="AT669" s="15"/>
      <c r="AU669" s="15"/>
      <c r="AV669" s="15"/>
      <c r="AW669" s="15"/>
      <c r="AX669" s="15"/>
      <c r="AY669" s="15"/>
    </row>
    <row r="670" spans="1:51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  <c r="AG670" s="15"/>
      <c r="AH670" s="15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  <c r="AS670" s="15"/>
      <c r="AT670" s="15"/>
      <c r="AU670" s="15"/>
      <c r="AV670" s="15"/>
      <c r="AW670" s="15"/>
      <c r="AX670" s="15"/>
      <c r="AY670" s="15"/>
    </row>
    <row r="671" spans="1:51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  <c r="AG671" s="15"/>
      <c r="AH671" s="15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  <c r="AS671" s="15"/>
      <c r="AT671" s="15"/>
      <c r="AU671" s="15"/>
      <c r="AV671" s="15"/>
      <c r="AW671" s="15"/>
      <c r="AX671" s="15"/>
      <c r="AY671" s="15"/>
    </row>
    <row r="672" spans="1:51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  <c r="AG672" s="15"/>
      <c r="AH672" s="15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  <c r="AS672" s="15"/>
      <c r="AT672" s="15"/>
      <c r="AU672" s="15"/>
      <c r="AV672" s="15"/>
      <c r="AW672" s="15"/>
      <c r="AX672" s="15"/>
      <c r="AY672" s="15"/>
    </row>
    <row r="673" spans="1:51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  <c r="AG673" s="15"/>
      <c r="AH673" s="15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  <c r="AS673" s="15"/>
      <c r="AT673" s="15"/>
      <c r="AU673" s="15"/>
      <c r="AV673" s="15"/>
      <c r="AW673" s="15"/>
      <c r="AX673" s="15"/>
      <c r="AY673" s="15"/>
    </row>
    <row r="674" spans="1:51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  <c r="AG674" s="15"/>
      <c r="AH674" s="15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  <c r="AS674" s="15"/>
      <c r="AT674" s="15"/>
      <c r="AU674" s="15"/>
      <c r="AV674" s="15"/>
      <c r="AW674" s="15"/>
      <c r="AX674" s="15"/>
      <c r="AY674" s="15"/>
    </row>
    <row r="675" spans="1:51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  <c r="AG675" s="15"/>
      <c r="AH675" s="15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  <c r="AS675" s="15"/>
      <c r="AT675" s="15"/>
      <c r="AU675" s="15"/>
      <c r="AV675" s="15"/>
      <c r="AW675" s="15"/>
      <c r="AX675" s="15"/>
      <c r="AY675" s="15"/>
    </row>
    <row r="676" spans="1:51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  <c r="AG676" s="15"/>
      <c r="AH676" s="15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  <c r="AS676" s="15"/>
      <c r="AT676" s="15"/>
      <c r="AU676" s="15"/>
      <c r="AV676" s="15"/>
      <c r="AW676" s="15"/>
      <c r="AX676" s="15"/>
      <c r="AY676" s="15"/>
    </row>
    <row r="677" spans="1:51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  <c r="AG677" s="15"/>
      <c r="AH677" s="15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  <c r="AS677" s="15"/>
      <c r="AT677" s="15"/>
      <c r="AU677" s="15"/>
      <c r="AV677" s="15"/>
      <c r="AW677" s="15"/>
      <c r="AX677" s="15"/>
      <c r="AY677" s="15"/>
    </row>
    <row r="678" spans="1:51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  <c r="AG678" s="15"/>
      <c r="AH678" s="15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  <c r="AS678" s="15"/>
      <c r="AT678" s="15"/>
      <c r="AU678" s="15"/>
      <c r="AV678" s="15"/>
      <c r="AW678" s="15"/>
      <c r="AX678" s="15"/>
      <c r="AY678" s="15"/>
    </row>
    <row r="679" spans="1:51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  <c r="AG679" s="15"/>
      <c r="AH679" s="15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  <c r="AS679" s="15"/>
      <c r="AT679" s="15"/>
      <c r="AU679" s="15"/>
      <c r="AV679" s="15"/>
      <c r="AW679" s="15"/>
      <c r="AX679" s="15"/>
      <c r="AY679" s="15"/>
    </row>
    <row r="680" spans="1:51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  <c r="AG680" s="15"/>
      <c r="AH680" s="15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  <c r="AS680" s="15"/>
      <c r="AT680" s="15"/>
      <c r="AU680" s="15"/>
      <c r="AV680" s="15"/>
      <c r="AW680" s="15"/>
      <c r="AX680" s="15"/>
      <c r="AY680" s="15"/>
    </row>
    <row r="681" spans="1:51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  <c r="AG681" s="15"/>
      <c r="AH681" s="15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  <c r="AS681" s="15"/>
      <c r="AT681" s="15"/>
      <c r="AU681" s="15"/>
      <c r="AV681" s="15"/>
      <c r="AW681" s="15"/>
      <c r="AX681" s="15"/>
      <c r="AY681" s="15"/>
    </row>
    <row r="682" spans="1:51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  <c r="AG682" s="15"/>
      <c r="AH682" s="15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  <c r="AS682" s="15"/>
      <c r="AT682" s="15"/>
      <c r="AU682" s="15"/>
      <c r="AV682" s="15"/>
      <c r="AW682" s="15"/>
      <c r="AX682" s="15"/>
      <c r="AY682" s="15"/>
    </row>
    <row r="683" spans="1:51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  <c r="AG683" s="15"/>
      <c r="AH683" s="15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  <c r="AS683" s="15"/>
      <c r="AT683" s="15"/>
      <c r="AU683" s="15"/>
      <c r="AV683" s="15"/>
      <c r="AW683" s="15"/>
      <c r="AX683" s="15"/>
      <c r="AY683" s="15"/>
    </row>
    <row r="684" spans="1:51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  <c r="AG684" s="15"/>
      <c r="AH684" s="15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  <c r="AS684" s="15"/>
      <c r="AT684" s="15"/>
      <c r="AU684" s="15"/>
      <c r="AV684" s="15"/>
      <c r="AW684" s="15"/>
      <c r="AX684" s="15"/>
      <c r="AY684" s="15"/>
    </row>
    <row r="685" spans="1:51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  <c r="AG685" s="15"/>
      <c r="AH685" s="15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  <c r="AS685" s="15"/>
      <c r="AT685" s="15"/>
      <c r="AU685" s="15"/>
      <c r="AV685" s="15"/>
      <c r="AW685" s="15"/>
      <c r="AX685" s="15"/>
      <c r="AY685" s="15"/>
    </row>
    <row r="686" spans="1:51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  <c r="AG686" s="15"/>
      <c r="AH686" s="15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  <c r="AS686" s="15"/>
      <c r="AT686" s="15"/>
      <c r="AU686" s="15"/>
      <c r="AV686" s="15"/>
      <c r="AW686" s="15"/>
      <c r="AX686" s="15"/>
      <c r="AY686" s="15"/>
    </row>
    <row r="687" spans="1:51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  <c r="AG687" s="15"/>
      <c r="AH687" s="15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  <c r="AS687" s="15"/>
      <c r="AT687" s="15"/>
      <c r="AU687" s="15"/>
      <c r="AV687" s="15"/>
      <c r="AW687" s="15"/>
      <c r="AX687" s="15"/>
      <c r="AY687" s="15"/>
    </row>
    <row r="688" spans="1:51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  <c r="AG688" s="15"/>
      <c r="AH688" s="15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  <c r="AS688" s="15"/>
      <c r="AT688" s="15"/>
      <c r="AU688" s="15"/>
      <c r="AV688" s="15"/>
      <c r="AW688" s="15"/>
      <c r="AX688" s="15"/>
      <c r="AY688" s="15"/>
    </row>
    <row r="689" spans="1:51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  <c r="AG689" s="15"/>
      <c r="AH689" s="15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  <c r="AS689" s="15"/>
      <c r="AT689" s="15"/>
      <c r="AU689" s="15"/>
      <c r="AV689" s="15"/>
      <c r="AW689" s="15"/>
      <c r="AX689" s="15"/>
      <c r="AY689" s="15"/>
    </row>
    <row r="690" spans="1:51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  <c r="AG690" s="15"/>
      <c r="AH690" s="15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  <c r="AS690" s="15"/>
      <c r="AT690" s="15"/>
      <c r="AU690" s="15"/>
      <c r="AV690" s="15"/>
      <c r="AW690" s="15"/>
      <c r="AX690" s="15"/>
      <c r="AY690" s="15"/>
    </row>
    <row r="691" spans="1:51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  <c r="AG691" s="15"/>
      <c r="AH691" s="15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  <c r="AS691" s="15"/>
      <c r="AT691" s="15"/>
      <c r="AU691" s="15"/>
      <c r="AV691" s="15"/>
      <c r="AW691" s="15"/>
      <c r="AX691" s="15"/>
      <c r="AY691" s="15"/>
    </row>
    <row r="692" spans="1:51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  <c r="AG692" s="15"/>
      <c r="AH692" s="15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  <c r="AS692" s="15"/>
      <c r="AT692" s="15"/>
      <c r="AU692" s="15"/>
      <c r="AV692" s="15"/>
      <c r="AW692" s="15"/>
      <c r="AX692" s="15"/>
      <c r="AY692" s="15"/>
    </row>
    <row r="693" spans="1:51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  <c r="AG693" s="15"/>
      <c r="AH693" s="15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  <c r="AS693" s="15"/>
      <c r="AT693" s="15"/>
      <c r="AU693" s="15"/>
      <c r="AV693" s="15"/>
      <c r="AW693" s="15"/>
      <c r="AX693" s="15"/>
      <c r="AY693" s="15"/>
    </row>
    <row r="694" spans="1:51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  <c r="AX694" s="15"/>
      <c r="AY694" s="15"/>
    </row>
    <row r="695" spans="1:51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  <c r="AG695" s="15"/>
      <c r="AH695" s="15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  <c r="AX695" s="15"/>
      <c r="AY695" s="15"/>
    </row>
    <row r="696" spans="1:51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  <c r="AX696" s="15"/>
      <c r="AY696" s="15"/>
    </row>
    <row r="697" spans="1:51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  <c r="AX697" s="15"/>
      <c r="AY697" s="15"/>
    </row>
    <row r="698" spans="1:51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  <c r="AG698" s="15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  <c r="AX698" s="15"/>
      <c r="AY698" s="15"/>
    </row>
    <row r="699" spans="1:51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  <c r="AG699" s="15"/>
      <c r="AH699" s="15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  <c r="AS699" s="15"/>
      <c r="AT699" s="15"/>
      <c r="AU699" s="15"/>
      <c r="AV699" s="15"/>
      <c r="AW699" s="15"/>
      <c r="AX699" s="15"/>
      <c r="AY699" s="15"/>
    </row>
    <row r="700" spans="1:51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  <c r="AG700" s="15"/>
      <c r="AH700" s="15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  <c r="AS700" s="15"/>
      <c r="AT700" s="15"/>
      <c r="AU700" s="15"/>
      <c r="AV700" s="15"/>
      <c r="AW700" s="15"/>
      <c r="AX700" s="15"/>
      <c r="AY700" s="15"/>
    </row>
    <row r="701" spans="1:51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  <c r="AG701" s="15"/>
      <c r="AH701" s="15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  <c r="AS701" s="15"/>
      <c r="AT701" s="15"/>
      <c r="AU701" s="15"/>
      <c r="AV701" s="15"/>
      <c r="AW701" s="15"/>
      <c r="AX701" s="15"/>
      <c r="AY701" s="15"/>
    </row>
    <row r="702" spans="1:51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  <c r="AG702" s="15"/>
      <c r="AH702" s="15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  <c r="AS702" s="15"/>
      <c r="AT702" s="15"/>
      <c r="AU702" s="15"/>
      <c r="AV702" s="15"/>
      <c r="AW702" s="15"/>
      <c r="AX702" s="15"/>
      <c r="AY702" s="15"/>
    </row>
    <row r="703" spans="1:51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  <c r="AG703" s="15"/>
      <c r="AH703" s="15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  <c r="AS703" s="15"/>
      <c r="AT703" s="15"/>
      <c r="AU703" s="15"/>
      <c r="AV703" s="15"/>
      <c r="AW703" s="15"/>
      <c r="AX703" s="15"/>
      <c r="AY703" s="15"/>
    </row>
    <row r="704" spans="1:51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  <c r="AG704" s="15"/>
      <c r="AH704" s="15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  <c r="AS704" s="15"/>
      <c r="AT704" s="15"/>
      <c r="AU704" s="15"/>
      <c r="AV704" s="15"/>
      <c r="AW704" s="15"/>
      <c r="AX704" s="15"/>
      <c r="AY704" s="15"/>
    </row>
    <row r="705" spans="1:51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  <c r="AG705" s="15"/>
      <c r="AH705" s="15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  <c r="AS705" s="15"/>
      <c r="AT705" s="15"/>
      <c r="AU705" s="15"/>
      <c r="AV705" s="15"/>
      <c r="AW705" s="15"/>
      <c r="AX705" s="15"/>
      <c r="AY705" s="15"/>
    </row>
    <row r="706" spans="1:51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  <c r="AG706" s="15"/>
      <c r="AH706" s="15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  <c r="AS706" s="15"/>
      <c r="AT706" s="15"/>
      <c r="AU706" s="15"/>
      <c r="AV706" s="15"/>
      <c r="AW706" s="15"/>
      <c r="AX706" s="15"/>
      <c r="AY706" s="15"/>
    </row>
    <row r="707" spans="1:51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  <c r="AG707" s="15"/>
      <c r="AH707" s="15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  <c r="AS707" s="15"/>
      <c r="AT707" s="15"/>
      <c r="AU707" s="15"/>
      <c r="AV707" s="15"/>
      <c r="AW707" s="15"/>
      <c r="AX707" s="15"/>
      <c r="AY707" s="15"/>
    </row>
    <row r="708" spans="1:51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  <c r="AG708" s="15"/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  <c r="AS708" s="15"/>
      <c r="AT708" s="15"/>
      <c r="AU708" s="15"/>
      <c r="AV708" s="15"/>
      <c r="AW708" s="15"/>
      <c r="AX708" s="15"/>
      <c r="AY708" s="15"/>
    </row>
    <row r="709" spans="1:51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  <c r="AG709" s="15"/>
      <c r="AH709" s="15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  <c r="AS709" s="15"/>
      <c r="AT709" s="15"/>
      <c r="AU709" s="15"/>
      <c r="AV709" s="15"/>
      <c r="AW709" s="15"/>
      <c r="AX709" s="15"/>
      <c r="AY709" s="15"/>
    </row>
    <row r="710" spans="1:51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  <c r="AG710" s="15"/>
      <c r="AH710" s="15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  <c r="AS710" s="15"/>
      <c r="AT710" s="15"/>
      <c r="AU710" s="15"/>
      <c r="AV710" s="15"/>
      <c r="AW710" s="15"/>
      <c r="AX710" s="15"/>
      <c r="AY710" s="15"/>
    </row>
    <row r="711" spans="1:51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  <c r="AG711" s="15"/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  <c r="AS711" s="15"/>
      <c r="AT711" s="15"/>
      <c r="AU711" s="15"/>
      <c r="AV711" s="15"/>
      <c r="AW711" s="15"/>
      <c r="AX711" s="15"/>
      <c r="AY711" s="15"/>
    </row>
    <row r="712" spans="1:51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  <c r="AG712" s="15"/>
      <c r="AH712" s="15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  <c r="AS712" s="15"/>
      <c r="AT712" s="15"/>
      <c r="AU712" s="15"/>
      <c r="AV712" s="15"/>
      <c r="AW712" s="15"/>
      <c r="AX712" s="15"/>
      <c r="AY712" s="15"/>
    </row>
    <row r="713" spans="1:51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  <c r="AX713" s="15"/>
      <c r="AY713" s="15"/>
    </row>
    <row r="714" spans="1:51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  <c r="AG714" s="15"/>
      <c r="AH714" s="15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  <c r="AS714" s="15"/>
      <c r="AT714" s="15"/>
      <c r="AU714" s="15"/>
      <c r="AV714" s="15"/>
      <c r="AW714" s="15"/>
      <c r="AX714" s="15"/>
      <c r="AY714" s="15"/>
    </row>
  </sheetData>
  <mergeCells count="2">
    <mergeCell ref="A1:F2"/>
    <mergeCell ref="A3:G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6B64-7E13-4280-A805-D70AD3DC4CDC}">
  <sheetPr codeName="Sheet2"/>
  <dimension ref="A1:D5"/>
  <sheetViews>
    <sheetView workbookViewId="0">
      <selection activeCell="C13" sqref="C13"/>
    </sheetView>
  </sheetViews>
  <sheetFormatPr baseColWidth="10" defaultColWidth="8.83203125" defaultRowHeight="16" x14ac:dyDescent="0.2"/>
  <cols>
    <col min="1" max="1" width="14.6640625" bestFit="1" customWidth="1"/>
    <col min="2" max="2" width="12.1640625" customWidth="1"/>
    <col min="3" max="3" width="13.1640625" customWidth="1"/>
    <col min="4" max="4" width="14.6640625" customWidth="1"/>
  </cols>
  <sheetData>
    <row r="1" spans="1:4" x14ac:dyDescent="0.2">
      <c r="A1" s="17" t="s">
        <v>2</v>
      </c>
      <c r="B1" s="17" t="s">
        <v>3</v>
      </c>
      <c r="C1" s="17" t="s">
        <v>4</v>
      </c>
      <c r="D1" s="17" t="s">
        <v>5</v>
      </c>
    </row>
    <row r="2" spans="1:4" x14ac:dyDescent="0.2">
      <c r="A2" t="s">
        <v>6</v>
      </c>
      <c r="B2" t="s">
        <v>7</v>
      </c>
      <c r="C2" t="s">
        <v>8</v>
      </c>
      <c r="D2" t="s">
        <v>9</v>
      </c>
    </row>
    <row r="3" spans="1:4" x14ac:dyDescent="0.2">
      <c r="A3" t="s">
        <v>10</v>
      </c>
      <c r="B3" t="s">
        <v>11</v>
      </c>
      <c r="C3" t="s">
        <v>12</v>
      </c>
      <c r="D3" t="s">
        <v>9</v>
      </c>
    </row>
    <row r="4" spans="1:4" x14ac:dyDescent="0.2">
      <c r="A4" t="s">
        <v>13</v>
      </c>
      <c r="B4" t="s">
        <v>14</v>
      </c>
      <c r="C4" t="s">
        <v>15</v>
      </c>
      <c r="D4" t="s">
        <v>16</v>
      </c>
    </row>
    <row r="5" spans="1:4" x14ac:dyDescent="0.2">
      <c r="A5" t="s">
        <v>17</v>
      </c>
      <c r="B5" t="s">
        <v>18</v>
      </c>
      <c r="C5" t="s">
        <v>19</v>
      </c>
      <c r="D5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3B70E-8354-FE45-AF77-54D9C6C716A4}">
  <sheetPr codeName="Sheet3"/>
  <dimension ref="A1:AE132"/>
  <sheetViews>
    <sheetView topLeftCell="C1" zoomScale="71" zoomScaleNormal="71" workbookViewId="0">
      <selection activeCell="L28" sqref="L28"/>
    </sheetView>
  </sheetViews>
  <sheetFormatPr baseColWidth="10" defaultColWidth="11" defaultRowHeight="16" x14ac:dyDescent="0.2"/>
  <cols>
    <col min="2" max="2" width="13.1640625" bestFit="1" customWidth="1"/>
    <col min="3" max="3" width="15.1640625" bestFit="1" customWidth="1"/>
    <col min="4" max="4" width="13.1640625" bestFit="1" customWidth="1"/>
    <col min="5" max="5" width="15.1640625" bestFit="1" customWidth="1"/>
    <col min="6" max="6" width="14.6640625" bestFit="1" customWidth="1"/>
    <col min="7" max="7" width="15.1640625" bestFit="1" customWidth="1"/>
    <col min="8" max="8" width="14.6640625" bestFit="1" customWidth="1"/>
    <col min="9" max="9" width="15.1640625" bestFit="1" customWidth="1"/>
    <col min="10" max="10" width="14.6640625" bestFit="1" customWidth="1"/>
    <col min="11" max="11" width="15.1640625" bestFit="1" customWidth="1"/>
    <col min="12" max="12" width="13.1640625" bestFit="1" customWidth="1"/>
    <col min="13" max="13" width="15.1640625" bestFit="1" customWidth="1"/>
    <col min="14" max="14" width="13.1640625" bestFit="1" customWidth="1"/>
    <col min="15" max="15" width="15.1640625" bestFit="1" customWidth="1"/>
    <col min="16" max="16" width="13.1640625" bestFit="1" customWidth="1"/>
    <col min="17" max="17" width="15.1640625" bestFit="1" customWidth="1"/>
  </cols>
  <sheetData>
    <row r="1" spans="1:31" x14ac:dyDescent="0.2">
      <c r="A1" s="1"/>
      <c r="B1" s="30" t="s">
        <v>20</v>
      </c>
      <c r="C1" s="30"/>
      <c r="D1" s="30" t="s">
        <v>21</v>
      </c>
      <c r="E1" s="30"/>
      <c r="F1" s="30" t="s">
        <v>22</v>
      </c>
      <c r="G1" s="30"/>
      <c r="H1" s="30" t="s">
        <v>23</v>
      </c>
      <c r="I1" s="30"/>
      <c r="J1" s="30" t="s">
        <v>24</v>
      </c>
      <c r="K1" s="30"/>
      <c r="L1" s="30" t="s">
        <v>25</v>
      </c>
      <c r="M1" s="30"/>
      <c r="N1" s="30" t="s">
        <v>26</v>
      </c>
      <c r="O1" s="30"/>
      <c r="P1" s="30" t="s">
        <v>27</v>
      </c>
      <c r="Q1" s="30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x14ac:dyDescent="0.2">
      <c r="A2" s="2" t="s">
        <v>28</v>
      </c>
      <c r="B2" s="2" t="s">
        <v>29</v>
      </c>
      <c r="C2" s="2" t="s">
        <v>30</v>
      </c>
      <c r="D2" s="2" t="s">
        <v>29</v>
      </c>
      <c r="E2" s="2" t="s">
        <v>30</v>
      </c>
      <c r="F2" s="2" t="s">
        <v>29</v>
      </c>
      <c r="G2" s="2" t="s">
        <v>30</v>
      </c>
      <c r="H2" s="2" t="s">
        <v>29</v>
      </c>
      <c r="I2" s="2" t="s">
        <v>30</v>
      </c>
      <c r="J2" s="2" t="s">
        <v>29</v>
      </c>
      <c r="K2" s="2" t="s">
        <v>30</v>
      </c>
      <c r="L2" s="2" t="s">
        <v>29</v>
      </c>
      <c r="M2" s="2" t="s">
        <v>30</v>
      </c>
      <c r="N2" s="2" t="s">
        <v>29</v>
      </c>
      <c r="O2" s="2" t="s">
        <v>30</v>
      </c>
      <c r="P2" s="2" t="s">
        <v>29</v>
      </c>
      <c r="Q2" s="2" t="s">
        <v>30</v>
      </c>
      <c r="R2" s="15"/>
      <c r="S2" s="15"/>
      <c r="T2" s="15"/>
      <c r="U2" s="19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x14ac:dyDescent="0.2">
      <c r="A3" s="3">
        <v>1</v>
      </c>
      <c r="B3" s="4">
        <v>395</v>
      </c>
      <c r="C3" s="10">
        <v>17380</v>
      </c>
      <c r="D3" s="4">
        <v>571</v>
      </c>
      <c r="E3" s="10">
        <v>15988</v>
      </c>
      <c r="F3" s="4">
        <v>226</v>
      </c>
      <c r="G3" s="10">
        <v>11978</v>
      </c>
      <c r="H3" s="4">
        <v>177</v>
      </c>
      <c r="I3" s="10">
        <v>2478</v>
      </c>
      <c r="J3" s="4">
        <v>266</v>
      </c>
      <c r="K3" s="10">
        <v>2660</v>
      </c>
      <c r="L3" s="4">
        <v>830</v>
      </c>
      <c r="M3" s="10">
        <v>19090</v>
      </c>
      <c r="N3" s="4">
        <v>140</v>
      </c>
      <c r="O3" s="10">
        <v>2940</v>
      </c>
      <c r="P3" s="4">
        <v>124</v>
      </c>
      <c r="Q3" s="10">
        <v>6572</v>
      </c>
      <c r="R3" s="15"/>
      <c r="S3" s="15"/>
      <c r="T3" s="15"/>
      <c r="U3" s="19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4" spans="1:31" x14ac:dyDescent="0.2">
      <c r="A4" s="3">
        <v>2</v>
      </c>
      <c r="B4" s="4">
        <v>376</v>
      </c>
      <c r="C4" s="10">
        <v>16920</v>
      </c>
      <c r="D4" s="4">
        <v>581</v>
      </c>
      <c r="E4" s="10">
        <v>16849</v>
      </c>
      <c r="F4" s="4">
        <v>221</v>
      </c>
      <c r="G4" s="10">
        <v>12155</v>
      </c>
      <c r="H4" s="4">
        <v>141</v>
      </c>
      <c r="I4" s="10">
        <v>1974</v>
      </c>
      <c r="J4" s="4">
        <v>263</v>
      </c>
      <c r="K4" s="10">
        <v>3156</v>
      </c>
      <c r="L4" s="4">
        <v>554</v>
      </c>
      <c r="M4" s="10">
        <v>12188</v>
      </c>
      <c r="N4" s="4">
        <v>84</v>
      </c>
      <c r="O4" s="10">
        <v>1848</v>
      </c>
      <c r="P4" s="4">
        <v>114</v>
      </c>
      <c r="Q4" s="10">
        <v>6042</v>
      </c>
      <c r="R4" s="15"/>
      <c r="S4" s="15"/>
      <c r="T4" s="15"/>
      <c r="U4" s="19"/>
      <c r="V4" s="15"/>
      <c r="W4" s="15"/>
      <c r="X4" s="15"/>
      <c r="Y4" s="15"/>
      <c r="Z4" s="15"/>
      <c r="AA4" s="15"/>
      <c r="AB4" s="15"/>
      <c r="AC4" s="15"/>
      <c r="AD4" s="15"/>
      <c r="AE4" s="15"/>
    </row>
    <row r="5" spans="1:31" x14ac:dyDescent="0.2">
      <c r="A5" s="3">
        <v>3</v>
      </c>
      <c r="B5" s="4">
        <v>398</v>
      </c>
      <c r="C5" s="10">
        <v>17910</v>
      </c>
      <c r="D5" s="4">
        <v>523</v>
      </c>
      <c r="E5" s="10">
        <v>9414</v>
      </c>
      <c r="F5" s="4">
        <v>208</v>
      </c>
      <c r="G5" s="10">
        <v>12272</v>
      </c>
      <c r="H5" s="4">
        <v>125</v>
      </c>
      <c r="I5" s="10">
        <v>1750</v>
      </c>
      <c r="J5" s="4">
        <v>274</v>
      </c>
      <c r="K5" s="10">
        <v>3562</v>
      </c>
      <c r="L5" s="4">
        <v>691</v>
      </c>
      <c r="M5" s="10">
        <v>13820</v>
      </c>
      <c r="N5" s="4">
        <v>91</v>
      </c>
      <c r="O5" s="10">
        <v>1820</v>
      </c>
      <c r="P5" s="4">
        <v>108</v>
      </c>
      <c r="Q5" s="10">
        <v>6480</v>
      </c>
      <c r="R5" s="15"/>
      <c r="S5" s="15"/>
      <c r="T5" s="15"/>
      <c r="U5" s="19"/>
      <c r="V5" s="15"/>
      <c r="W5" s="15"/>
      <c r="X5" s="15"/>
      <c r="Y5" s="15"/>
      <c r="Z5" s="15"/>
      <c r="AA5" s="15"/>
      <c r="AB5" s="15"/>
      <c r="AC5" s="15"/>
      <c r="AD5" s="15"/>
      <c r="AE5" s="15"/>
    </row>
    <row r="6" spans="1:31" x14ac:dyDescent="0.2">
      <c r="A6" s="3">
        <v>4</v>
      </c>
      <c r="B6" s="4">
        <v>322</v>
      </c>
      <c r="C6" s="10">
        <v>9982</v>
      </c>
      <c r="D6" s="4">
        <v>584</v>
      </c>
      <c r="E6" s="10">
        <v>9928</v>
      </c>
      <c r="F6" s="4">
        <v>244</v>
      </c>
      <c r="G6" s="10">
        <v>14152</v>
      </c>
      <c r="H6" s="4">
        <v>167</v>
      </c>
      <c r="I6" s="10">
        <v>2505</v>
      </c>
      <c r="J6" s="4">
        <v>252</v>
      </c>
      <c r="K6" s="10">
        <v>3528</v>
      </c>
      <c r="L6" s="4">
        <v>636</v>
      </c>
      <c r="M6" s="10">
        <v>12720</v>
      </c>
      <c r="N6" s="4">
        <v>84</v>
      </c>
      <c r="O6" s="10">
        <v>1680</v>
      </c>
      <c r="P6" s="4">
        <v>141</v>
      </c>
      <c r="Q6" s="10">
        <v>8037</v>
      </c>
      <c r="R6" s="15"/>
      <c r="S6" s="15"/>
      <c r="T6" s="15"/>
      <c r="U6" s="19"/>
      <c r="V6" s="15"/>
      <c r="W6" s="15"/>
      <c r="X6" s="15"/>
      <c r="Y6" s="15"/>
      <c r="Z6" s="15"/>
      <c r="AA6" s="15"/>
      <c r="AB6" s="15"/>
      <c r="AC6" s="15"/>
      <c r="AD6" s="15"/>
      <c r="AE6" s="15"/>
    </row>
    <row r="7" spans="1:31" x14ac:dyDescent="0.2">
      <c r="A7" s="3">
        <v>5</v>
      </c>
      <c r="B7" s="4">
        <v>304</v>
      </c>
      <c r="C7" s="10">
        <v>10640</v>
      </c>
      <c r="D7" s="4">
        <v>569</v>
      </c>
      <c r="E7" s="10">
        <v>13087</v>
      </c>
      <c r="F7" s="4">
        <v>217</v>
      </c>
      <c r="G7" s="10">
        <v>11501</v>
      </c>
      <c r="H7" s="4">
        <v>199</v>
      </c>
      <c r="I7" s="10">
        <v>2587</v>
      </c>
      <c r="J7" s="4">
        <v>261</v>
      </c>
      <c r="K7" s="10">
        <v>3654</v>
      </c>
      <c r="L7" s="4">
        <v>588</v>
      </c>
      <c r="M7" s="10">
        <v>11760</v>
      </c>
      <c r="N7" s="4">
        <v>113</v>
      </c>
      <c r="O7" s="10">
        <v>2486</v>
      </c>
      <c r="P7" s="4">
        <v>132</v>
      </c>
      <c r="Q7" s="10">
        <v>6600</v>
      </c>
      <c r="R7" s="15"/>
      <c r="S7" s="15"/>
      <c r="T7" s="15"/>
      <c r="U7" s="19"/>
      <c r="V7" s="15"/>
      <c r="W7" s="15"/>
      <c r="X7" s="15"/>
      <c r="Y7" s="15"/>
      <c r="Z7" s="15"/>
      <c r="AA7" s="15"/>
      <c r="AB7" s="15"/>
      <c r="AC7" s="15"/>
      <c r="AD7" s="15"/>
      <c r="AE7" s="15"/>
    </row>
    <row r="8" spans="1:31" x14ac:dyDescent="0.2">
      <c r="A8" s="3">
        <v>6</v>
      </c>
      <c r="B8" s="4">
        <v>336</v>
      </c>
      <c r="C8" s="10">
        <v>10080</v>
      </c>
      <c r="D8" s="4">
        <v>558</v>
      </c>
      <c r="E8" s="10">
        <v>13392</v>
      </c>
      <c r="F8" s="4">
        <v>235</v>
      </c>
      <c r="G8" s="10">
        <v>11985</v>
      </c>
      <c r="H8" s="4">
        <v>147</v>
      </c>
      <c r="I8" s="10">
        <v>1470</v>
      </c>
      <c r="J8" s="4">
        <v>264</v>
      </c>
      <c r="K8" s="10">
        <v>3432</v>
      </c>
      <c r="L8" s="4">
        <v>597</v>
      </c>
      <c r="M8" s="10">
        <v>11940</v>
      </c>
      <c r="N8" s="4">
        <v>61</v>
      </c>
      <c r="O8" s="10">
        <v>1281</v>
      </c>
      <c r="P8" s="4">
        <v>119</v>
      </c>
      <c r="Q8" s="10">
        <v>6783</v>
      </c>
      <c r="R8" s="15"/>
      <c r="S8" s="15"/>
      <c r="T8" s="15"/>
      <c r="U8" s="19"/>
      <c r="V8" s="15"/>
      <c r="W8" s="15"/>
      <c r="X8" s="15"/>
      <c r="Y8" s="15"/>
      <c r="Z8" s="15"/>
      <c r="AA8" s="15"/>
      <c r="AB8" s="15"/>
      <c r="AC8" s="15"/>
      <c r="AD8" s="15"/>
      <c r="AE8" s="15"/>
    </row>
    <row r="9" spans="1:31" x14ac:dyDescent="0.2">
      <c r="A9" s="3">
        <v>7</v>
      </c>
      <c r="B9" s="4">
        <v>323</v>
      </c>
      <c r="C9" s="10">
        <v>10982</v>
      </c>
      <c r="D9" s="4">
        <v>502</v>
      </c>
      <c r="E9" s="10">
        <v>15060</v>
      </c>
      <c r="F9" s="4">
        <v>233</v>
      </c>
      <c r="G9" s="10">
        <v>13048</v>
      </c>
      <c r="H9" s="4">
        <v>110</v>
      </c>
      <c r="I9" s="10">
        <v>1540</v>
      </c>
      <c r="J9" s="4">
        <v>261</v>
      </c>
      <c r="K9" s="10">
        <v>3132</v>
      </c>
      <c r="L9" s="4">
        <v>559</v>
      </c>
      <c r="M9" s="10">
        <v>13416</v>
      </c>
      <c r="N9" s="4">
        <v>29</v>
      </c>
      <c r="O9" s="10">
        <v>580</v>
      </c>
      <c r="P9" s="4">
        <v>120</v>
      </c>
      <c r="Q9" s="10">
        <v>6240</v>
      </c>
      <c r="R9" s="15"/>
      <c r="S9" s="15"/>
      <c r="T9" s="15"/>
      <c r="U9" s="19"/>
      <c r="V9" s="15"/>
      <c r="W9" s="15"/>
      <c r="X9" s="15"/>
      <c r="Y9" s="15"/>
      <c r="Z9" s="15"/>
      <c r="AA9" s="15"/>
      <c r="AB9" s="15"/>
      <c r="AC9" s="15"/>
      <c r="AD9" s="15"/>
      <c r="AE9" s="15"/>
    </row>
    <row r="10" spans="1:31" x14ac:dyDescent="0.2">
      <c r="A10" s="3">
        <v>8</v>
      </c>
      <c r="B10" s="4">
        <v>309</v>
      </c>
      <c r="C10" s="10">
        <v>12978</v>
      </c>
      <c r="D10" s="4">
        <v>558</v>
      </c>
      <c r="E10" s="10">
        <v>8370</v>
      </c>
      <c r="F10" s="4">
        <v>222</v>
      </c>
      <c r="G10" s="10">
        <v>11766</v>
      </c>
      <c r="H10" s="4">
        <v>200</v>
      </c>
      <c r="I10" s="10">
        <v>2600</v>
      </c>
      <c r="J10" s="4">
        <v>251</v>
      </c>
      <c r="K10" s="10">
        <v>3263</v>
      </c>
      <c r="L10" s="4">
        <v>545</v>
      </c>
      <c r="M10" s="10">
        <v>11990</v>
      </c>
      <c r="N10" s="4">
        <v>21</v>
      </c>
      <c r="O10" s="10">
        <v>462</v>
      </c>
      <c r="P10" s="4">
        <v>136</v>
      </c>
      <c r="Q10" s="10">
        <v>7888</v>
      </c>
      <c r="R10" s="15"/>
      <c r="S10" s="15"/>
      <c r="T10" s="15"/>
      <c r="U10" s="19"/>
      <c r="V10" s="15"/>
      <c r="W10" s="15"/>
      <c r="X10" s="15"/>
      <c r="Y10" s="15"/>
      <c r="Z10" s="15"/>
      <c r="AA10" s="15"/>
      <c r="AB10" s="15"/>
      <c r="AC10" s="15"/>
      <c r="AD10" s="15"/>
      <c r="AE10" s="15"/>
    </row>
    <row r="11" spans="1:31" x14ac:dyDescent="0.2">
      <c r="A11" s="3">
        <v>9</v>
      </c>
      <c r="B11" s="4">
        <v>335</v>
      </c>
      <c r="C11" s="10">
        <v>11055</v>
      </c>
      <c r="D11" s="4">
        <v>536</v>
      </c>
      <c r="E11" s="10">
        <v>9112</v>
      </c>
      <c r="F11" s="4">
        <v>238</v>
      </c>
      <c r="G11" s="10">
        <v>12852</v>
      </c>
      <c r="H11" s="4">
        <v>250</v>
      </c>
      <c r="I11" s="10">
        <v>3250</v>
      </c>
      <c r="J11" s="4">
        <v>266</v>
      </c>
      <c r="K11" s="10">
        <v>2660</v>
      </c>
      <c r="L11" s="4">
        <v>583</v>
      </c>
      <c r="M11" s="10">
        <v>11660</v>
      </c>
      <c r="N11" s="4">
        <v>58</v>
      </c>
      <c r="O11" s="10">
        <v>1276</v>
      </c>
      <c r="P11" s="4">
        <v>129</v>
      </c>
      <c r="Q11" s="10">
        <v>6579</v>
      </c>
      <c r="R11" s="15"/>
      <c r="S11" s="15"/>
      <c r="T11" s="15"/>
      <c r="U11" s="19"/>
      <c r="V11" s="15"/>
      <c r="W11" s="15"/>
      <c r="X11" s="15"/>
      <c r="Y11" s="15"/>
      <c r="Z11" s="15"/>
      <c r="AA11" s="15"/>
      <c r="AB11" s="15"/>
      <c r="AC11" s="15"/>
      <c r="AD11" s="15"/>
      <c r="AE11" s="15"/>
    </row>
    <row r="12" spans="1:31" x14ac:dyDescent="0.2">
      <c r="A12" s="3">
        <v>10</v>
      </c>
      <c r="B12" s="4">
        <v>376</v>
      </c>
      <c r="C12" s="10">
        <v>16168</v>
      </c>
      <c r="D12" s="4">
        <v>593</v>
      </c>
      <c r="E12" s="10">
        <v>13046</v>
      </c>
      <c r="F12" s="4">
        <v>248</v>
      </c>
      <c r="G12" s="10">
        <v>12648</v>
      </c>
      <c r="H12" s="4">
        <v>155</v>
      </c>
      <c r="I12" s="10">
        <v>1550</v>
      </c>
      <c r="J12" s="4">
        <v>300</v>
      </c>
      <c r="K12" s="10">
        <v>3900</v>
      </c>
      <c r="L12" s="4">
        <v>617</v>
      </c>
      <c r="M12" s="10">
        <v>15425</v>
      </c>
      <c r="N12" s="4">
        <v>144</v>
      </c>
      <c r="O12" s="10">
        <v>2880</v>
      </c>
      <c r="P12" s="4">
        <v>120</v>
      </c>
      <c r="Q12" s="10">
        <v>6480</v>
      </c>
      <c r="R12" s="15"/>
      <c r="S12" s="15"/>
      <c r="T12" s="15"/>
      <c r="U12" s="19"/>
      <c r="V12" s="15"/>
      <c r="W12" s="15"/>
      <c r="X12" s="15"/>
      <c r="Y12" s="15"/>
      <c r="Z12" s="15"/>
      <c r="AA12" s="15"/>
      <c r="AB12" s="15"/>
      <c r="AC12" s="15"/>
      <c r="AD12" s="15"/>
      <c r="AE12" s="15"/>
    </row>
    <row r="13" spans="1:31" x14ac:dyDescent="0.2">
      <c r="A13" s="3">
        <v>11</v>
      </c>
      <c r="B13" s="4">
        <v>300</v>
      </c>
      <c r="C13" s="10">
        <v>10500</v>
      </c>
      <c r="D13" s="4">
        <v>506</v>
      </c>
      <c r="E13" s="10">
        <v>13662</v>
      </c>
      <c r="F13" s="4">
        <v>249</v>
      </c>
      <c r="G13" s="10">
        <v>12450</v>
      </c>
      <c r="H13" s="4">
        <v>173</v>
      </c>
      <c r="I13" s="10">
        <v>1730</v>
      </c>
      <c r="J13" s="4">
        <v>281</v>
      </c>
      <c r="K13" s="10">
        <v>2810</v>
      </c>
      <c r="L13" s="4">
        <v>655</v>
      </c>
      <c r="M13" s="10">
        <v>16375</v>
      </c>
      <c r="N13" s="4">
        <v>16</v>
      </c>
      <c r="O13" s="10">
        <v>320</v>
      </c>
      <c r="P13" s="4">
        <v>113</v>
      </c>
      <c r="Q13" s="10">
        <v>6215</v>
      </c>
      <c r="R13" s="15"/>
      <c r="S13" s="15"/>
      <c r="T13" s="15"/>
      <c r="U13" s="19"/>
      <c r="V13" s="15"/>
      <c r="W13" s="15"/>
      <c r="X13" s="15"/>
      <c r="Y13" s="15"/>
      <c r="Z13" s="15"/>
      <c r="AA13" s="15"/>
      <c r="AB13" s="15"/>
      <c r="AC13" s="15"/>
      <c r="AD13" s="15"/>
      <c r="AE13" s="15"/>
    </row>
    <row r="14" spans="1:31" x14ac:dyDescent="0.2">
      <c r="A14" s="3">
        <v>12</v>
      </c>
      <c r="B14" s="4">
        <v>347</v>
      </c>
      <c r="C14" s="10">
        <v>11798</v>
      </c>
      <c r="D14" s="4">
        <v>509</v>
      </c>
      <c r="E14" s="10">
        <v>8653</v>
      </c>
      <c r="F14" s="4">
        <v>242</v>
      </c>
      <c r="G14" s="10">
        <v>14520</v>
      </c>
      <c r="H14" s="4">
        <v>133</v>
      </c>
      <c r="I14" s="10">
        <v>1862</v>
      </c>
      <c r="J14" s="4">
        <v>283</v>
      </c>
      <c r="K14" s="10">
        <v>2830</v>
      </c>
      <c r="L14" s="4">
        <v>501</v>
      </c>
      <c r="M14" s="10">
        <v>10020</v>
      </c>
      <c r="N14" s="4">
        <v>83</v>
      </c>
      <c r="O14" s="10">
        <v>1743</v>
      </c>
      <c r="P14" s="4">
        <v>101</v>
      </c>
      <c r="Q14" s="10">
        <v>5959</v>
      </c>
      <c r="R14" s="15"/>
      <c r="S14" s="15"/>
      <c r="T14" s="15"/>
      <c r="U14" s="19"/>
      <c r="V14" s="15"/>
      <c r="W14" s="15"/>
      <c r="X14" s="15"/>
      <c r="Y14" s="15"/>
      <c r="Z14" s="15"/>
      <c r="AA14" s="15"/>
      <c r="AB14" s="15"/>
      <c r="AC14" s="15"/>
      <c r="AD14" s="15"/>
      <c r="AE14" s="15"/>
    </row>
    <row r="15" spans="1:31" x14ac:dyDescent="0.2">
      <c r="A15" s="3">
        <v>13</v>
      </c>
      <c r="B15" s="4">
        <v>333</v>
      </c>
      <c r="C15" s="10">
        <v>11655</v>
      </c>
      <c r="D15" s="4">
        <v>591</v>
      </c>
      <c r="E15" s="10">
        <v>14775</v>
      </c>
      <c r="F15" s="4">
        <v>209</v>
      </c>
      <c r="G15" s="10">
        <v>11077</v>
      </c>
      <c r="H15" s="4">
        <v>196</v>
      </c>
      <c r="I15" s="10">
        <v>2156</v>
      </c>
      <c r="J15" s="4">
        <v>299</v>
      </c>
      <c r="K15" s="10">
        <v>4485</v>
      </c>
      <c r="L15" s="4">
        <v>563</v>
      </c>
      <c r="M15" s="10">
        <v>11260</v>
      </c>
      <c r="N15" s="4">
        <v>149</v>
      </c>
      <c r="O15" s="10">
        <v>3129</v>
      </c>
      <c r="P15" s="4">
        <v>112</v>
      </c>
      <c r="Q15" s="10">
        <v>6720</v>
      </c>
      <c r="R15" s="15"/>
      <c r="S15" s="15"/>
      <c r="T15" s="15"/>
      <c r="U15" s="19"/>
      <c r="V15" s="15"/>
      <c r="W15" s="15"/>
      <c r="X15" s="15"/>
      <c r="Y15" s="15"/>
      <c r="Z15" s="15"/>
      <c r="AA15" s="15"/>
      <c r="AB15" s="15"/>
      <c r="AC15" s="15"/>
      <c r="AD15" s="15"/>
      <c r="AE15" s="15"/>
    </row>
    <row r="16" spans="1:31" x14ac:dyDescent="0.2">
      <c r="A16" s="3">
        <v>14</v>
      </c>
      <c r="B16" s="4">
        <v>353</v>
      </c>
      <c r="C16" s="10">
        <v>12355</v>
      </c>
      <c r="D16" s="4">
        <v>522</v>
      </c>
      <c r="E16" s="10">
        <v>12528</v>
      </c>
      <c r="F16" s="4">
        <v>219</v>
      </c>
      <c r="G16" s="10">
        <v>11388</v>
      </c>
      <c r="H16" s="4">
        <v>178</v>
      </c>
      <c r="I16" s="10">
        <v>2314</v>
      </c>
      <c r="J16" s="4">
        <v>255</v>
      </c>
      <c r="K16" s="10">
        <v>2805</v>
      </c>
      <c r="L16" s="4">
        <v>669</v>
      </c>
      <c r="M16" s="10">
        <v>14718</v>
      </c>
      <c r="N16" s="4">
        <v>98</v>
      </c>
      <c r="O16" s="10">
        <v>2058</v>
      </c>
      <c r="P16" s="4">
        <v>130</v>
      </c>
      <c r="Q16" s="10">
        <v>6760</v>
      </c>
      <c r="R16" s="15"/>
      <c r="S16" s="15"/>
      <c r="T16" s="15"/>
      <c r="U16" s="19"/>
      <c r="V16" s="15"/>
      <c r="W16" s="15"/>
      <c r="X16" s="15"/>
      <c r="Y16" s="15"/>
      <c r="Z16" s="15"/>
      <c r="AA16" s="15"/>
      <c r="AB16" s="15"/>
      <c r="AC16" s="15"/>
      <c r="AD16" s="15"/>
      <c r="AE16" s="15"/>
    </row>
    <row r="17" spans="1:31" x14ac:dyDescent="0.2">
      <c r="A17" s="3">
        <v>15</v>
      </c>
      <c r="B17" s="4">
        <v>309</v>
      </c>
      <c r="C17" s="10">
        <v>13905</v>
      </c>
      <c r="D17" s="4">
        <v>511</v>
      </c>
      <c r="E17" s="10">
        <v>10731</v>
      </c>
      <c r="F17" s="4">
        <v>250</v>
      </c>
      <c r="G17" s="10">
        <v>14500</v>
      </c>
      <c r="H17" s="4">
        <v>113</v>
      </c>
      <c r="I17" s="10">
        <v>1243</v>
      </c>
      <c r="J17" s="4">
        <v>265</v>
      </c>
      <c r="K17" s="10">
        <v>3710</v>
      </c>
      <c r="L17" s="4">
        <v>587</v>
      </c>
      <c r="M17" s="10">
        <v>13501</v>
      </c>
      <c r="N17" s="4">
        <v>54</v>
      </c>
      <c r="O17" s="10">
        <v>1080</v>
      </c>
      <c r="P17" s="4">
        <v>143</v>
      </c>
      <c r="Q17" s="10">
        <v>7436</v>
      </c>
      <c r="R17" s="15"/>
      <c r="S17" s="15"/>
      <c r="T17" s="15"/>
      <c r="U17" s="19"/>
      <c r="V17" s="15"/>
      <c r="W17" s="15"/>
      <c r="X17" s="15"/>
      <c r="Y17" s="15"/>
      <c r="Z17" s="15"/>
      <c r="AA17" s="15"/>
      <c r="AB17" s="15"/>
      <c r="AC17" s="15"/>
      <c r="AD17" s="15"/>
      <c r="AE17" s="15"/>
    </row>
    <row r="18" spans="1:31" x14ac:dyDescent="0.2">
      <c r="A18" s="3">
        <v>16</v>
      </c>
      <c r="B18" s="4">
        <v>391</v>
      </c>
      <c r="C18" s="10">
        <v>12121</v>
      </c>
      <c r="D18" s="4">
        <v>535</v>
      </c>
      <c r="E18" s="10">
        <v>14445</v>
      </c>
      <c r="F18" s="4">
        <v>207</v>
      </c>
      <c r="G18" s="10">
        <v>12006</v>
      </c>
      <c r="H18" s="4">
        <v>105</v>
      </c>
      <c r="I18" s="10">
        <v>1470</v>
      </c>
      <c r="J18" s="4">
        <v>300</v>
      </c>
      <c r="K18" s="10">
        <v>3000</v>
      </c>
      <c r="L18" s="4">
        <v>576</v>
      </c>
      <c r="M18" s="10">
        <v>14400</v>
      </c>
      <c r="N18" s="4">
        <v>27</v>
      </c>
      <c r="O18" s="10">
        <v>540</v>
      </c>
      <c r="P18" s="4">
        <v>121</v>
      </c>
      <c r="Q18" s="10">
        <v>6292</v>
      </c>
      <c r="R18" s="15"/>
      <c r="S18" s="15"/>
      <c r="T18" s="15"/>
      <c r="U18" s="19"/>
      <c r="V18" s="15"/>
      <c r="W18" s="15"/>
      <c r="X18" s="15"/>
      <c r="Y18" s="15"/>
      <c r="Z18" s="15"/>
      <c r="AA18" s="15"/>
      <c r="AB18" s="15"/>
      <c r="AC18" s="15"/>
      <c r="AD18" s="15"/>
      <c r="AE18" s="15"/>
    </row>
    <row r="19" spans="1:31" x14ac:dyDescent="0.2">
      <c r="A19" s="3">
        <v>17</v>
      </c>
      <c r="B19" s="4">
        <v>363</v>
      </c>
      <c r="C19" s="10">
        <v>11253</v>
      </c>
      <c r="D19" s="4">
        <v>512</v>
      </c>
      <c r="E19" s="10">
        <v>12800</v>
      </c>
      <c r="F19" s="4">
        <v>210</v>
      </c>
      <c r="G19" s="10">
        <v>11760</v>
      </c>
      <c r="H19" s="4">
        <v>101</v>
      </c>
      <c r="I19" s="10">
        <v>1313</v>
      </c>
      <c r="J19" s="4">
        <v>292</v>
      </c>
      <c r="K19" s="10">
        <v>4088</v>
      </c>
      <c r="L19" s="4">
        <v>594</v>
      </c>
      <c r="M19" s="10">
        <v>14256</v>
      </c>
      <c r="N19" s="4">
        <v>64</v>
      </c>
      <c r="O19" s="10">
        <v>1408</v>
      </c>
      <c r="P19" s="4">
        <v>125</v>
      </c>
      <c r="Q19" s="10">
        <v>7500</v>
      </c>
      <c r="R19" s="15"/>
      <c r="S19" s="15"/>
      <c r="T19" s="15"/>
      <c r="U19" s="19"/>
      <c r="V19" s="15"/>
      <c r="W19" s="15"/>
      <c r="X19" s="15"/>
      <c r="Y19" s="15"/>
      <c r="Z19" s="15"/>
      <c r="AA19" s="15"/>
      <c r="AB19" s="15"/>
      <c r="AC19" s="15"/>
      <c r="AD19" s="15"/>
      <c r="AE19" s="15"/>
    </row>
    <row r="20" spans="1:31" x14ac:dyDescent="0.2">
      <c r="A20" s="3">
        <v>18</v>
      </c>
      <c r="B20" s="4">
        <v>351</v>
      </c>
      <c r="C20" s="10">
        <v>13338</v>
      </c>
      <c r="D20" s="4">
        <v>509</v>
      </c>
      <c r="E20" s="10">
        <v>11198</v>
      </c>
      <c r="F20" s="4">
        <v>234</v>
      </c>
      <c r="G20" s="10">
        <v>11934</v>
      </c>
      <c r="H20" s="4">
        <v>121</v>
      </c>
      <c r="I20" s="10">
        <v>1815</v>
      </c>
      <c r="J20" s="4">
        <v>221</v>
      </c>
      <c r="K20" s="10">
        <v>3094</v>
      </c>
      <c r="L20" s="4">
        <v>578</v>
      </c>
      <c r="M20" s="10">
        <v>13872</v>
      </c>
      <c r="N20" s="4">
        <v>112</v>
      </c>
      <c r="O20" s="10">
        <v>2240</v>
      </c>
      <c r="P20" s="4">
        <v>143</v>
      </c>
      <c r="Q20" s="10">
        <v>7579</v>
      </c>
      <c r="R20" s="15"/>
      <c r="S20" s="15"/>
      <c r="T20" s="15"/>
      <c r="U20" s="19"/>
      <c r="V20" s="15"/>
      <c r="W20" s="15"/>
      <c r="X20" s="15"/>
      <c r="Y20" s="15"/>
      <c r="Z20" s="15"/>
      <c r="AA20" s="15"/>
      <c r="AB20" s="15"/>
      <c r="AC20" s="15"/>
      <c r="AD20" s="15"/>
      <c r="AE20" s="15"/>
    </row>
    <row r="21" spans="1:31" x14ac:dyDescent="0.2">
      <c r="A21" s="3">
        <v>19</v>
      </c>
      <c r="B21" s="4">
        <v>349</v>
      </c>
      <c r="C21" s="10">
        <v>12215</v>
      </c>
      <c r="D21" s="4">
        <v>500</v>
      </c>
      <c r="E21" s="10">
        <v>7500</v>
      </c>
      <c r="F21" s="4">
        <v>201</v>
      </c>
      <c r="G21" s="10">
        <v>11859</v>
      </c>
      <c r="H21" s="4">
        <v>189</v>
      </c>
      <c r="I21" s="10">
        <v>2268</v>
      </c>
      <c r="J21" s="4">
        <v>276</v>
      </c>
      <c r="K21" s="10">
        <v>3036</v>
      </c>
      <c r="L21" s="4">
        <v>750</v>
      </c>
      <c r="M21" s="10">
        <v>16500</v>
      </c>
      <c r="N21" s="4">
        <v>138</v>
      </c>
      <c r="O21" s="10">
        <v>3036</v>
      </c>
      <c r="P21" s="4">
        <v>116</v>
      </c>
      <c r="Q21" s="10">
        <v>6728</v>
      </c>
      <c r="R21" s="15"/>
      <c r="S21" s="15"/>
      <c r="T21" s="15"/>
      <c r="U21" s="19"/>
      <c r="V21" s="15"/>
      <c r="W21" s="15"/>
      <c r="X21" s="15"/>
      <c r="Y21" s="15"/>
      <c r="Z21" s="15"/>
      <c r="AA21" s="15"/>
      <c r="AB21" s="15"/>
      <c r="AC21" s="15"/>
      <c r="AD21" s="15"/>
      <c r="AE21" s="15"/>
    </row>
    <row r="22" spans="1:31" x14ac:dyDescent="0.2">
      <c r="A22" s="3">
        <v>20</v>
      </c>
      <c r="B22" s="4">
        <v>391</v>
      </c>
      <c r="C22" s="10">
        <v>12903</v>
      </c>
      <c r="D22" s="4">
        <v>595</v>
      </c>
      <c r="E22" s="10">
        <v>13090</v>
      </c>
      <c r="F22" s="4">
        <v>249</v>
      </c>
      <c r="G22" s="10">
        <v>13197</v>
      </c>
      <c r="H22" s="4">
        <v>139</v>
      </c>
      <c r="I22" s="10">
        <v>1807</v>
      </c>
      <c r="J22" s="4">
        <v>281</v>
      </c>
      <c r="K22" s="10">
        <v>3372</v>
      </c>
      <c r="L22" s="4">
        <v>700</v>
      </c>
      <c r="M22" s="10">
        <v>14700</v>
      </c>
      <c r="N22" s="4">
        <v>104</v>
      </c>
      <c r="O22" s="10">
        <v>2080</v>
      </c>
      <c r="P22" s="4">
        <v>104</v>
      </c>
      <c r="Q22" s="10">
        <v>5824</v>
      </c>
      <c r="R22" s="15"/>
      <c r="S22" s="15"/>
      <c r="T22" s="15"/>
      <c r="U22" s="19"/>
      <c r="V22" s="15"/>
      <c r="W22" s="15"/>
      <c r="X22" s="15"/>
      <c r="Y22" s="15"/>
      <c r="Z22" s="15"/>
      <c r="AA22" s="15"/>
      <c r="AB22" s="15"/>
      <c r="AC22" s="15"/>
      <c r="AD22" s="15"/>
      <c r="AE22" s="15"/>
    </row>
    <row r="23" spans="1:31" x14ac:dyDescent="0.2">
      <c r="A23" s="3">
        <v>21</v>
      </c>
      <c r="B23" s="4">
        <v>388</v>
      </c>
      <c r="C23" s="10">
        <v>13968</v>
      </c>
      <c r="D23" s="4">
        <v>591</v>
      </c>
      <c r="E23" s="10">
        <v>10047</v>
      </c>
      <c r="F23" s="4">
        <v>224</v>
      </c>
      <c r="G23" s="10">
        <v>13440</v>
      </c>
      <c r="H23" s="4">
        <v>148</v>
      </c>
      <c r="I23" s="10">
        <v>1628</v>
      </c>
      <c r="J23" s="4">
        <v>287</v>
      </c>
      <c r="K23" s="10">
        <v>4305</v>
      </c>
      <c r="L23" s="4">
        <v>780</v>
      </c>
      <c r="M23" s="10">
        <v>16380</v>
      </c>
      <c r="N23" s="4">
        <v>144</v>
      </c>
      <c r="O23" s="10">
        <v>2880</v>
      </c>
      <c r="P23" s="4">
        <v>132</v>
      </c>
      <c r="Q23" s="10">
        <v>7392</v>
      </c>
      <c r="R23" s="15"/>
      <c r="S23" s="15"/>
      <c r="T23" s="15"/>
      <c r="U23" s="19"/>
      <c r="V23" s="15"/>
      <c r="W23" s="15"/>
      <c r="X23" s="15"/>
      <c r="Y23" s="15"/>
      <c r="Z23" s="15"/>
      <c r="AA23" s="15"/>
      <c r="AB23" s="15"/>
      <c r="AC23" s="15"/>
      <c r="AD23" s="15"/>
      <c r="AE23" s="15"/>
    </row>
    <row r="24" spans="1:31" x14ac:dyDescent="0.2">
      <c r="A24" s="3">
        <v>22</v>
      </c>
      <c r="B24" s="4">
        <v>302</v>
      </c>
      <c r="C24" s="10">
        <v>13590</v>
      </c>
      <c r="D24" s="4">
        <v>546</v>
      </c>
      <c r="E24" s="10">
        <v>12558</v>
      </c>
      <c r="F24" s="4">
        <v>206</v>
      </c>
      <c r="G24" s="10">
        <v>11330</v>
      </c>
      <c r="H24" s="4">
        <v>148</v>
      </c>
      <c r="I24" s="10">
        <v>1776</v>
      </c>
      <c r="J24" s="4">
        <v>299</v>
      </c>
      <c r="K24" s="10">
        <v>4485</v>
      </c>
      <c r="L24" s="4">
        <v>800</v>
      </c>
      <c r="M24" s="10">
        <v>17600</v>
      </c>
      <c r="N24" s="4">
        <v>55</v>
      </c>
      <c r="O24" s="10">
        <v>1155</v>
      </c>
      <c r="P24" s="4">
        <v>133</v>
      </c>
      <c r="Q24" s="10">
        <v>7182</v>
      </c>
      <c r="R24" s="15"/>
      <c r="S24" s="15"/>
      <c r="T24" s="15"/>
      <c r="U24" s="19"/>
      <c r="V24" s="15"/>
      <c r="W24" s="15"/>
      <c r="X24" s="15"/>
      <c r="Y24" s="15"/>
      <c r="Z24" s="15"/>
      <c r="AA24" s="15"/>
      <c r="AB24" s="15"/>
      <c r="AC24" s="15"/>
      <c r="AD24" s="15"/>
      <c r="AE24" s="15"/>
    </row>
    <row r="25" spans="1:31" x14ac:dyDescent="0.2">
      <c r="A25" s="3">
        <v>23</v>
      </c>
      <c r="B25" s="4">
        <v>317</v>
      </c>
      <c r="C25" s="10">
        <v>10778</v>
      </c>
      <c r="D25" s="4">
        <v>587</v>
      </c>
      <c r="E25" s="10">
        <v>8805</v>
      </c>
      <c r="F25" s="4">
        <v>204</v>
      </c>
      <c r="G25" s="10">
        <v>12240</v>
      </c>
      <c r="H25" s="4">
        <v>159</v>
      </c>
      <c r="I25" s="10">
        <v>2226</v>
      </c>
      <c r="J25" s="4">
        <v>264</v>
      </c>
      <c r="K25" s="10">
        <v>3432</v>
      </c>
      <c r="L25" s="4">
        <v>821</v>
      </c>
      <c r="M25" s="10">
        <v>20525</v>
      </c>
      <c r="N25" s="4">
        <v>150</v>
      </c>
      <c r="O25" s="10">
        <v>3150</v>
      </c>
      <c r="P25" s="4">
        <v>115</v>
      </c>
      <c r="Q25" s="10">
        <v>5980</v>
      </c>
      <c r="R25" s="15"/>
      <c r="S25" s="15"/>
      <c r="T25" s="15"/>
      <c r="U25" s="19"/>
      <c r="V25" s="15"/>
      <c r="W25" s="15"/>
      <c r="X25" s="15"/>
      <c r="Y25" s="15"/>
      <c r="Z25" s="15"/>
      <c r="AA25" s="15"/>
      <c r="AB25" s="15"/>
      <c r="AC25" s="15"/>
      <c r="AD25" s="15"/>
      <c r="AE25" s="15"/>
    </row>
    <row r="26" spans="1:31" x14ac:dyDescent="0.2">
      <c r="A26" s="3">
        <v>24</v>
      </c>
      <c r="B26" s="4">
        <v>353</v>
      </c>
      <c r="C26" s="10">
        <v>14473</v>
      </c>
      <c r="D26" s="4">
        <v>537</v>
      </c>
      <c r="E26" s="10">
        <v>12351</v>
      </c>
      <c r="F26" s="4">
        <v>226</v>
      </c>
      <c r="G26" s="10">
        <v>13334</v>
      </c>
      <c r="H26" s="4">
        <v>179</v>
      </c>
      <c r="I26" s="10">
        <v>2327</v>
      </c>
      <c r="J26" s="4">
        <v>269</v>
      </c>
      <c r="K26" s="10">
        <v>2959</v>
      </c>
      <c r="L26" s="4">
        <v>832</v>
      </c>
      <c r="M26" s="10">
        <v>17472</v>
      </c>
      <c r="N26" s="4">
        <v>124</v>
      </c>
      <c r="O26" s="10">
        <v>2480</v>
      </c>
      <c r="P26" s="4">
        <v>128</v>
      </c>
      <c r="Q26" s="10">
        <v>6784</v>
      </c>
      <c r="R26" s="15"/>
      <c r="S26" s="15"/>
      <c r="T26" s="15"/>
      <c r="U26" s="19"/>
      <c r="V26" s="15"/>
      <c r="W26" s="15"/>
      <c r="X26" s="15"/>
      <c r="Y26" s="15"/>
      <c r="Z26" s="15"/>
      <c r="AA26" s="15"/>
      <c r="AB26" s="15"/>
      <c r="AC26" s="15"/>
      <c r="AD26" s="15"/>
      <c r="AE26" s="15"/>
    </row>
    <row r="27" spans="1:31" x14ac:dyDescent="0.2">
      <c r="A27" s="3">
        <v>25</v>
      </c>
      <c r="B27" s="4">
        <v>387</v>
      </c>
      <c r="C27" s="10">
        <v>13932</v>
      </c>
      <c r="D27" s="4">
        <v>543</v>
      </c>
      <c r="E27" s="10">
        <v>15204</v>
      </c>
      <c r="F27" s="4">
        <v>238</v>
      </c>
      <c r="G27" s="10">
        <v>12614</v>
      </c>
      <c r="H27" s="4">
        <v>110</v>
      </c>
      <c r="I27" s="10">
        <v>1210</v>
      </c>
      <c r="J27" s="4">
        <v>285</v>
      </c>
      <c r="K27" s="10">
        <v>3420</v>
      </c>
      <c r="L27" s="4">
        <v>850</v>
      </c>
      <c r="M27" s="10">
        <v>19550</v>
      </c>
      <c r="N27" s="4">
        <v>133</v>
      </c>
      <c r="O27" s="10">
        <v>2793</v>
      </c>
      <c r="P27" s="4">
        <v>104</v>
      </c>
      <c r="Q27" s="10">
        <v>5304</v>
      </c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</row>
    <row r="28" spans="1:31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8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</row>
    <row r="29" spans="1:31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</row>
    <row r="30" spans="1:31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</row>
    <row r="31" spans="1:31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</row>
    <row r="32" spans="1:31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</row>
    <row r="33" spans="1:31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</row>
    <row r="34" spans="1:31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</row>
    <row r="35" spans="1:31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</row>
    <row r="36" spans="1:31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</row>
    <row r="37" spans="1:31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</row>
    <row r="38" spans="1:31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</row>
    <row r="39" spans="1:31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</row>
    <row r="40" spans="1:31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</row>
    <row r="41" spans="1:31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</row>
    <row r="42" spans="1:31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</row>
    <row r="43" spans="1:31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</row>
    <row r="44" spans="1:31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</row>
    <row r="45" spans="1:31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</row>
    <row r="46" spans="1:31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</row>
    <row r="47" spans="1:31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</row>
    <row r="48" spans="1:31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</row>
    <row r="49" spans="1:31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</row>
    <row r="50" spans="1:31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</row>
    <row r="51" spans="1:31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</row>
    <row r="52" spans="1:31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</row>
    <row r="53" spans="1:31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</row>
    <row r="54" spans="1:31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</row>
    <row r="55" spans="1:31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</row>
    <row r="56" spans="1:31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</row>
    <row r="57" spans="1:31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</row>
    <row r="58" spans="1:31" x14ac:dyDescent="0.2">
      <c r="A58" s="1"/>
      <c r="B58" s="30" t="s">
        <v>20</v>
      </c>
      <c r="C58" s="30"/>
      <c r="D58" s="30" t="s">
        <v>21</v>
      </c>
      <c r="E58" s="30"/>
      <c r="F58" s="30" t="s">
        <v>22</v>
      </c>
      <c r="G58" s="30"/>
      <c r="H58" s="30" t="s">
        <v>23</v>
      </c>
      <c r="I58" s="30"/>
      <c r="J58" s="30" t="s">
        <v>24</v>
      </c>
      <c r="K58" s="30"/>
      <c r="L58" s="30" t="s">
        <v>25</v>
      </c>
      <c r="M58" s="30"/>
      <c r="N58" s="30" t="s">
        <v>26</v>
      </c>
      <c r="O58" s="30"/>
      <c r="P58" s="30" t="s">
        <v>27</v>
      </c>
      <c r="Q58" s="30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</row>
    <row r="59" spans="1:31" x14ac:dyDescent="0.2">
      <c r="A59" s="2" t="s">
        <v>28</v>
      </c>
      <c r="B59" s="2" t="s">
        <v>31</v>
      </c>
      <c r="C59" s="2" t="s">
        <v>32</v>
      </c>
      <c r="D59" s="2" t="s">
        <v>31</v>
      </c>
      <c r="E59" s="2" t="s">
        <v>32</v>
      </c>
      <c r="F59" s="2" t="s">
        <v>31</v>
      </c>
      <c r="G59" s="2" t="s">
        <v>32</v>
      </c>
      <c r="H59" s="2" t="s">
        <v>31</v>
      </c>
      <c r="I59" s="2" t="s">
        <v>32</v>
      </c>
      <c r="J59" s="2" t="s">
        <v>31</v>
      </c>
      <c r="K59" s="2" t="s">
        <v>32</v>
      </c>
      <c r="L59" s="2" t="s">
        <v>31</v>
      </c>
      <c r="M59" s="2" t="s">
        <v>32</v>
      </c>
      <c r="N59" s="2" t="s">
        <v>31</v>
      </c>
      <c r="O59" s="2" t="s">
        <v>32</v>
      </c>
      <c r="P59" s="2" t="s">
        <v>31</v>
      </c>
      <c r="Q59" s="2" t="s">
        <v>32</v>
      </c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</row>
    <row r="60" spans="1:31" x14ac:dyDescent="0.2">
      <c r="A60" s="3">
        <v>1</v>
      </c>
      <c r="B60" s="10" cm="1">
        <f t="array" ref="B60">GROWTH($C$3:$C$27,$B$3:$B$27,B3)</f>
        <v>14789.121339295103</v>
      </c>
      <c r="C60" s="12">
        <f t="shared" ref="C60:C84" si="0">ABS(C3-B60)</f>
        <v>2590.8786607048969</v>
      </c>
      <c r="D60" s="10" cm="1">
        <f t="array" ref="D60">TREND($E$3:$E$27,$D$3:$D$27,D3)</f>
        <v>12475.222525367553</v>
      </c>
      <c r="E60" s="11">
        <f t="shared" ref="E60:E84" si="1">ABS(D60-E3)</f>
        <v>3512.7774746324467</v>
      </c>
      <c r="F60" s="10" cm="1">
        <f t="array" ref="F60">TREND($G$3:$G$27,$F$3:$F$27,F3)</f>
        <v>12464.287448275862</v>
      </c>
      <c r="G60" s="11">
        <f t="shared" ref="G60:G84" si="2">ABS(F60-G3)</f>
        <v>486.28744827586161</v>
      </c>
      <c r="H60" s="10" cm="1">
        <f t="array" ref="H60">TREND($I$3:$I$27,$H$3:$H$27,H3)</f>
        <v>2228.7800450142277</v>
      </c>
      <c r="I60" s="11">
        <f t="shared" ref="I60:I84" si="3">ABS(H60-I3)</f>
        <v>249.21995498577235</v>
      </c>
      <c r="J60" s="10" cm="1">
        <f t="array" ref="J60">TREND($K$3:$K$27,$J$3:$J$27,J3)</f>
        <v>3303.3420365535239</v>
      </c>
      <c r="K60" s="11">
        <f t="shared" ref="K60:K84" si="4">ABS(J60-K3)</f>
        <v>643.34203655352394</v>
      </c>
      <c r="L60" s="10" cm="1">
        <f t="array" ref="L60">TREND($M$3:$M$27,$L$3:$L$27,L3)</f>
        <v>18622.548620172813</v>
      </c>
      <c r="M60" s="11">
        <f t="shared" ref="M60:M84" si="5">ABS(L60-M3)</f>
        <v>467.45137982718734</v>
      </c>
      <c r="N60" s="10" cm="1">
        <f t="array" ref="N60">TREND($O$3:$O$27,$N$3:$N$27,N3)</f>
        <v>2908.4294810705478</v>
      </c>
      <c r="O60" s="11">
        <f t="shared" ref="O60:O84" si="6">ABS(N60-O3)</f>
        <v>31.570518929452192</v>
      </c>
      <c r="P60" s="10" cm="1">
        <f t="array" ref="P60">TREND($Q$3:$Q$27,$P$3:$P$27,P3)</f>
        <v>6763.0148355240908</v>
      </c>
      <c r="Q60" s="11">
        <f t="shared" ref="Q60:Q84" si="7">ABS(Q3-P60)</f>
        <v>191.01483552409081</v>
      </c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</row>
    <row r="61" spans="1:31" x14ac:dyDescent="0.2">
      <c r="A61" s="3">
        <v>2</v>
      </c>
      <c r="B61" s="10" cm="1">
        <f t="array" ref="B61">GROWTH($C$3:$C$27,$B$3:$B$27,B4)</f>
        <v>13915.693398278392</v>
      </c>
      <c r="C61" s="12">
        <f t="shared" si="0"/>
        <v>3004.3066017216079</v>
      </c>
      <c r="D61" s="10" cm="1">
        <f t="array" ref="D61">TREND($E$3:$E$27,$D$3:$D$27,D4)</f>
        <v>12628.482643093443</v>
      </c>
      <c r="E61" s="11">
        <f t="shared" si="1"/>
        <v>4220.5173569065573</v>
      </c>
      <c r="F61" s="10" cm="1">
        <f t="array" ref="F61">TREND($G$3:$G$27,$F$3:$F$27,F4)</f>
        <v>12264.880551724138</v>
      </c>
      <c r="G61" s="11">
        <f t="shared" si="2"/>
        <v>109.88055172413806</v>
      </c>
      <c r="H61" s="10" cm="1">
        <f t="array" ref="H61">TREND($I$3:$I$27,$H$3:$H$27,H4)</f>
        <v>1788.676770080411</v>
      </c>
      <c r="I61" s="11">
        <f t="shared" si="3"/>
        <v>185.32322991958904</v>
      </c>
      <c r="J61" s="10" cm="1">
        <f t="array" ref="J61">TREND($K$3:$K$27,$J$3:$J$27,J4)</f>
        <v>3263.4429622596717</v>
      </c>
      <c r="K61" s="11">
        <f t="shared" si="4"/>
        <v>107.44296225967173</v>
      </c>
      <c r="L61" s="10" cm="1">
        <f t="array" ref="L61">TREND($M$3:$M$27,$L$3:$L$27,L4)</f>
        <v>12167.612085661309</v>
      </c>
      <c r="M61" s="11">
        <f t="shared" si="5"/>
        <v>20.387914338691189</v>
      </c>
      <c r="N61" s="10" cm="1">
        <f t="array" ref="N61">TREND($O$3:$O$27,$N$3:$N$27,N4)</f>
        <v>1747.9055648133851</v>
      </c>
      <c r="O61" s="11">
        <f t="shared" si="6"/>
        <v>100.09443518661487</v>
      </c>
      <c r="P61" s="10" cm="1">
        <f t="array" ref="P61">TREND($Q$3:$Q$27,$P$3:$P$27,P4)</f>
        <v>6298.3200009018556</v>
      </c>
      <c r="Q61" s="11">
        <f t="shared" si="7"/>
        <v>256.32000090185556</v>
      </c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</row>
    <row r="62" spans="1:31" x14ac:dyDescent="0.2">
      <c r="A62" s="3">
        <v>3</v>
      </c>
      <c r="B62" s="10" cm="1">
        <f t="array" ref="B62">GROWTH($C$3:$C$27,$B$3:$B$27,B5)</f>
        <v>14931.956551493146</v>
      </c>
      <c r="C62" s="12">
        <f t="shared" si="0"/>
        <v>2978.0434485068545</v>
      </c>
      <c r="D62" s="10" cm="1">
        <f t="array" ref="D62">TREND($E$3:$E$27,$D$3:$D$27,D5)</f>
        <v>11739.573960283287</v>
      </c>
      <c r="E62" s="11">
        <f t="shared" si="1"/>
        <v>2325.5739602832873</v>
      </c>
      <c r="F62" s="10" cm="1">
        <f t="array" ref="F62">TREND($G$3:$G$27,$F$3:$F$27,F5)</f>
        <v>11746.422620689655</v>
      </c>
      <c r="G62" s="11">
        <f t="shared" si="2"/>
        <v>525.57737931034535</v>
      </c>
      <c r="H62" s="10" cm="1">
        <f t="array" ref="H62">TREND($I$3:$I$27,$H$3:$H$27,H5)</f>
        <v>1593.0753145542699</v>
      </c>
      <c r="I62" s="11">
        <f t="shared" si="3"/>
        <v>156.92468544573012</v>
      </c>
      <c r="J62" s="10" cm="1">
        <f t="array" ref="J62">TREND($K$3:$K$27,$J$3:$J$27,J5)</f>
        <v>3409.7395680037971</v>
      </c>
      <c r="K62" s="11">
        <f t="shared" si="4"/>
        <v>152.2604319962029</v>
      </c>
      <c r="L62" s="10" cm="1">
        <f t="array" ref="L62">TREND($M$3:$M$27,$L$3:$L$27,L5)</f>
        <v>15371.692901705062</v>
      </c>
      <c r="M62" s="11">
        <f t="shared" si="5"/>
        <v>1551.6929017050625</v>
      </c>
      <c r="N62" s="10" cm="1">
        <f t="array" ref="N62">TREND($O$3:$O$27,$N$3:$N$27,N5)</f>
        <v>1892.9710543455305</v>
      </c>
      <c r="O62" s="11">
        <f t="shared" si="6"/>
        <v>72.971054345530547</v>
      </c>
      <c r="P62" s="10" cm="1">
        <f t="array" ref="P62">TREND($Q$3:$Q$27,$P$3:$P$27,P5)</f>
        <v>6019.5031001285142</v>
      </c>
      <c r="Q62" s="11">
        <f t="shared" si="7"/>
        <v>460.49689987148577</v>
      </c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</row>
    <row r="63" spans="1:31" x14ac:dyDescent="0.2">
      <c r="A63" s="3">
        <v>4</v>
      </c>
      <c r="B63" s="10" cm="1">
        <f t="array" ref="B63">GROWTH($C$3:$C$27,$B$3:$B$27,B6)</f>
        <v>11704.871080286797</v>
      </c>
      <c r="C63" s="12">
        <f t="shared" si="0"/>
        <v>1722.8710802867972</v>
      </c>
      <c r="D63" s="10" cm="1">
        <f t="array" ref="D63">TREND($E$3:$E$27,$D$3:$D$27,D6)</f>
        <v>12674.460678411209</v>
      </c>
      <c r="E63" s="11">
        <f t="shared" si="1"/>
        <v>2746.4606784112093</v>
      </c>
      <c r="F63" s="10" cm="1">
        <f t="array" ref="F63">TREND($G$3:$G$27,$F$3:$F$27,F6)</f>
        <v>13182.152275862069</v>
      </c>
      <c r="G63" s="11">
        <f t="shared" si="2"/>
        <v>969.84772413793144</v>
      </c>
      <c r="H63" s="10" cm="1">
        <f t="array" ref="H63">TREND($I$3:$I$27,$H$3:$H$27,H6)</f>
        <v>2106.5291353103898</v>
      </c>
      <c r="I63" s="11">
        <f t="shared" si="3"/>
        <v>398.47086468961015</v>
      </c>
      <c r="J63" s="10" cm="1">
        <f t="array" ref="J63">TREND($K$3:$K$27,$J$3:$J$27,J6)</f>
        <v>3117.1463565155464</v>
      </c>
      <c r="K63" s="11">
        <f t="shared" si="4"/>
        <v>410.85364348445364</v>
      </c>
      <c r="L63" s="10" cm="1">
        <f t="array" ref="L63">TREND($M$3:$M$27,$L$3:$L$27,L6)</f>
        <v>14085.383085045161</v>
      </c>
      <c r="M63" s="11">
        <f t="shared" si="5"/>
        <v>1365.3830850451614</v>
      </c>
      <c r="N63" s="10" cm="1">
        <f t="array" ref="N63">TREND($O$3:$O$27,$N$3:$N$27,N6)</f>
        <v>1747.9055648133851</v>
      </c>
      <c r="O63" s="11">
        <f t="shared" si="6"/>
        <v>67.905564813385126</v>
      </c>
      <c r="P63" s="10" cm="1">
        <f t="array" ref="P63">TREND($Q$3:$Q$27,$P$3:$P$27,P6)</f>
        <v>7552.9960543818906</v>
      </c>
      <c r="Q63" s="11">
        <f t="shared" si="7"/>
        <v>484.00394561810936</v>
      </c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</row>
    <row r="64" spans="1:31" x14ac:dyDescent="0.2">
      <c r="A64" s="3">
        <v>5</v>
      </c>
      <c r="B64" s="10" cm="1">
        <f t="array" ref="B64">GROWTH($C$3:$C$27,$B$3:$B$27,B7)</f>
        <v>11048.93865655505</v>
      </c>
      <c r="C64" s="12">
        <f t="shared" si="0"/>
        <v>408.93865655505033</v>
      </c>
      <c r="D64" s="10" cm="1">
        <f t="array" ref="D64">TREND($E$3:$E$27,$D$3:$D$27,D7)</f>
        <v>12444.570501822376</v>
      </c>
      <c r="E64" s="11">
        <f t="shared" si="1"/>
        <v>642.42949817762383</v>
      </c>
      <c r="F64" s="10" cm="1">
        <f t="array" ref="F64">TREND($G$3:$G$27,$F$3:$F$27,F7)</f>
        <v>12105.355034482758</v>
      </c>
      <c r="G64" s="11">
        <f t="shared" si="2"/>
        <v>604.35503448275813</v>
      </c>
      <c r="H64" s="10" cm="1">
        <f t="array" ref="H64">TREND($I$3:$I$27,$H$3:$H$27,H7)</f>
        <v>2497.732046362672</v>
      </c>
      <c r="I64" s="11">
        <f t="shared" si="3"/>
        <v>89.267953637327992</v>
      </c>
      <c r="J64" s="10" cm="1">
        <f t="array" ref="J64">TREND($K$3:$K$27,$J$3:$J$27,J7)</f>
        <v>3236.8435793971034</v>
      </c>
      <c r="K64" s="11">
        <f t="shared" si="4"/>
        <v>417.15642060289656</v>
      </c>
      <c r="L64" s="10" cm="1">
        <f t="array" ref="L64">TREND($M$3:$M$27,$L$3:$L$27,L7)</f>
        <v>12962.785426869246</v>
      </c>
      <c r="M64" s="11">
        <f t="shared" si="5"/>
        <v>1202.7854268692463</v>
      </c>
      <c r="N64" s="10" cm="1">
        <f t="array" ref="N64">TREND($O$3:$O$27,$N$3:$N$27,N7)</f>
        <v>2348.8911643037018</v>
      </c>
      <c r="O64" s="11">
        <f t="shared" si="6"/>
        <v>137.10883569629823</v>
      </c>
      <c r="P64" s="10" cm="1">
        <f t="array" ref="P64">TREND($Q$3:$Q$27,$P$3:$P$27,P7)</f>
        <v>7134.7707032218786</v>
      </c>
      <c r="Q64" s="11">
        <f t="shared" si="7"/>
        <v>534.77070322187865</v>
      </c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</row>
    <row r="65" spans="1:31" x14ac:dyDescent="0.2">
      <c r="A65" s="3">
        <v>6</v>
      </c>
      <c r="B65" s="10" cm="1">
        <f t="array" ref="B65">GROWTH($C$3:$C$27,$B$3:$B$27,B8)</f>
        <v>12241.846034574122</v>
      </c>
      <c r="C65" s="12">
        <f t="shared" si="0"/>
        <v>2161.8460345741223</v>
      </c>
      <c r="D65" s="10" cm="1">
        <f t="array" ref="D65">TREND($E$3:$E$27,$D$3:$D$27,D8)</f>
        <v>12275.984372323899</v>
      </c>
      <c r="E65" s="11">
        <f t="shared" si="1"/>
        <v>1116.0156276761008</v>
      </c>
      <c r="F65" s="10" cm="1">
        <f t="array" ref="F65">TREND($G$3:$G$27,$F$3:$F$27,F8)</f>
        <v>12823.219862068965</v>
      </c>
      <c r="G65" s="11">
        <f t="shared" si="2"/>
        <v>838.21986206896509</v>
      </c>
      <c r="H65" s="10" cm="1">
        <f t="array" ref="H65">TREND($I$3:$I$27,$H$3:$H$27,H8)</f>
        <v>1862.0273159027138</v>
      </c>
      <c r="I65" s="11">
        <f t="shared" si="3"/>
        <v>392.02731590271378</v>
      </c>
      <c r="J65" s="10" cm="1">
        <f t="array" ref="J65">TREND($K$3:$K$27,$J$3:$J$27,J8)</f>
        <v>3276.7426536909561</v>
      </c>
      <c r="K65" s="11">
        <f t="shared" si="4"/>
        <v>155.2573463090439</v>
      </c>
      <c r="L65" s="10" cm="1">
        <f t="array" ref="L65">TREND($M$3:$M$27,$L$3:$L$27,L8)</f>
        <v>13173.272487777231</v>
      </c>
      <c r="M65" s="11">
        <f t="shared" si="5"/>
        <v>1233.2724877772307</v>
      </c>
      <c r="N65" s="10" cm="1">
        <f t="array" ref="N65">TREND($O$3:$O$27,$N$3:$N$27,N8)</f>
        <v>1271.2618134934792</v>
      </c>
      <c r="O65" s="11">
        <f t="shared" si="6"/>
        <v>9.7381865065208331</v>
      </c>
      <c r="P65" s="10" cm="1">
        <f t="array" ref="P65">TREND($Q$3:$Q$27,$P$3:$P$27,P8)</f>
        <v>6530.6674182129727</v>
      </c>
      <c r="Q65" s="11">
        <f t="shared" si="7"/>
        <v>252.33258178702727</v>
      </c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</row>
    <row r="66" spans="1:31" x14ac:dyDescent="0.2">
      <c r="A66" s="3">
        <v>7</v>
      </c>
      <c r="B66" s="10" cm="1">
        <f t="array" ref="B66">GROWTH($C$3:$C$27,$B$3:$B$27,B9)</f>
        <v>11742.432790480763</v>
      </c>
      <c r="C66" s="12">
        <f t="shared" si="0"/>
        <v>760.43279048076329</v>
      </c>
      <c r="D66" s="10" cm="1">
        <f t="array" ref="D66">TREND($E$3:$E$27,$D$3:$D$27,D9)</f>
        <v>11417.727713058921</v>
      </c>
      <c r="E66" s="11">
        <f t="shared" si="1"/>
        <v>3642.2722869410791</v>
      </c>
      <c r="F66" s="10" cm="1">
        <f t="array" ref="F66">TREND($G$3:$G$27,$F$3:$F$27,F9)</f>
        <v>12743.457103448276</v>
      </c>
      <c r="G66" s="11">
        <f t="shared" si="2"/>
        <v>304.54289655172397</v>
      </c>
      <c r="H66" s="10" cm="1">
        <f t="array" ref="H66">TREND($I$3:$I$27,$H$3:$H$27,H9)</f>
        <v>1409.6989499985129</v>
      </c>
      <c r="I66" s="11">
        <f t="shared" si="3"/>
        <v>130.30105000148706</v>
      </c>
      <c r="J66" s="10" cm="1">
        <f t="array" ref="J66">TREND($K$3:$K$27,$J$3:$J$27,J9)</f>
        <v>3236.8435793971034</v>
      </c>
      <c r="K66" s="11">
        <f t="shared" si="4"/>
        <v>104.84357939710344</v>
      </c>
      <c r="L66" s="10" cm="1">
        <f t="array" ref="L66">TREND($M$3:$M$27,$L$3:$L$27,L9)</f>
        <v>12284.549341721298</v>
      </c>
      <c r="M66" s="11">
        <f t="shared" si="5"/>
        <v>1131.4506582787017</v>
      </c>
      <c r="N66" s="10" cm="1">
        <f t="array" ref="N66">TREND($O$3:$O$27,$N$3:$N$27,N9)</f>
        <v>608.10528991795775</v>
      </c>
      <c r="O66" s="11">
        <f t="shared" si="6"/>
        <v>28.105289917957748</v>
      </c>
      <c r="P66" s="10" cm="1">
        <f t="array" ref="P66">TREND($Q$3:$Q$27,$P$3:$P$27,P9)</f>
        <v>6577.1369016751969</v>
      </c>
      <c r="Q66" s="11">
        <f t="shared" si="7"/>
        <v>337.1369016751969</v>
      </c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</row>
    <row r="67" spans="1:31" x14ac:dyDescent="0.2">
      <c r="A67" s="3">
        <v>8</v>
      </c>
      <c r="B67" s="10" cm="1">
        <f t="array" ref="B67">GROWTH($C$3:$C$27,$B$3:$B$27,B10)</f>
        <v>11227.364042427376</v>
      </c>
      <c r="C67" s="12">
        <f t="shared" si="0"/>
        <v>1750.6359575726237</v>
      </c>
      <c r="D67" s="10" cm="1">
        <f t="array" ref="D67">TREND($E$3:$E$27,$D$3:$D$27,D10)</f>
        <v>12275.984372323899</v>
      </c>
      <c r="E67" s="11">
        <f t="shared" si="1"/>
        <v>3905.9843723238992</v>
      </c>
      <c r="F67" s="10" cm="1">
        <f t="array" ref="F67">TREND($G$3:$G$27,$F$3:$F$27,F10)</f>
        <v>12304.761931034482</v>
      </c>
      <c r="G67" s="11">
        <f t="shared" si="2"/>
        <v>538.76193103448168</v>
      </c>
      <c r="H67" s="10" cm="1">
        <f t="array" ref="H67">TREND($I$3:$I$27,$H$3:$H$27,H10)</f>
        <v>2509.9571373330555</v>
      </c>
      <c r="I67" s="11">
        <f t="shared" si="3"/>
        <v>90.042862666944529</v>
      </c>
      <c r="J67" s="10" cm="1">
        <f t="array" ref="J67">TREND($K$3:$K$27,$J$3:$J$27,J10)</f>
        <v>3103.8466650842624</v>
      </c>
      <c r="K67" s="11">
        <f t="shared" si="4"/>
        <v>159.15333491573756</v>
      </c>
      <c r="L67" s="10" cm="1">
        <f t="array" ref="L67">TREND($M$3:$M$27,$L$3:$L$27,L10)</f>
        <v>11957.125024753324</v>
      </c>
      <c r="M67" s="11">
        <f t="shared" si="5"/>
        <v>32.874975246675604</v>
      </c>
      <c r="N67" s="10" cm="1">
        <f t="array" ref="N67">TREND($O$3:$O$27,$N$3:$N$27,N10)</f>
        <v>442.31615902407736</v>
      </c>
      <c r="O67" s="11">
        <f t="shared" si="6"/>
        <v>19.683840975922635</v>
      </c>
      <c r="P67" s="10" cm="1">
        <f t="array" ref="P67">TREND($Q$3:$Q$27,$P$3:$P$27,P10)</f>
        <v>7320.6486370707726</v>
      </c>
      <c r="Q67" s="11">
        <f t="shared" si="7"/>
        <v>567.35136292922743</v>
      </c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</row>
    <row r="68" spans="1:31" x14ac:dyDescent="0.2">
      <c r="A68" s="3">
        <v>9</v>
      </c>
      <c r="B68" s="10" cm="1">
        <f t="array" ref="B68">GROWTH($C$3:$C$27,$B$3:$B$27,B11)</f>
        <v>12202.686800606642</v>
      </c>
      <c r="C68" s="12">
        <f t="shared" si="0"/>
        <v>1147.6868006066416</v>
      </c>
      <c r="D68" s="10" cm="1">
        <f t="array" ref="D68">TREND($E$3:$E$27,$D$3:$D$27,D11)</f>
        <v>11938.812113326943</v>
      </c>
      <c r="E68" s="11">
        <f t="shared" si="1"/>
        <v>2826.8121133269433</v>
      </c>
      <c r="F68" s="10" cm="1">
        <f t="array" ref="F68">TREND($G$3:$G$27,$F$3:$F$27,F11)</f>
        <v>12942.864</v>
      </c>
      <c r="G68" s="11">
        <f t="shared" si="2"/>
        <v>90.863999999999578</v>
      </c>
      <c r="H68" s="10" cm="1">
        <f t="array" ref="H68">TREND($I$3:$I$27,$H$3:$H$27,H11)</f>
        <v>3121.2116858522459</v>
      </c>
      <c r="I68" s="11">
        <f t="shared" si="3"/>
        <v>128.78831414775414</v>
      </c>
      <c r="J68" s="10" cm="1">
        <f t="array" ref="J68">TREND($K$3:$K$27,$J$3:$J$27,J11)</f>
        <v>3303.3420365535239</v>
      </c>
      <c r="K68" s="11">
        <f t="shared" si="4"/>
        <v>643.34203655352394</v>
      </c>
      <c r="L68" s="10" cm="1">
        <f t="array" ref="L68">TREND($M$3:$M$27,$L$3:$L$27,L11)</f>
        <v>12845.848170809257</v>
      </c>
      <c r="M68" s="11">
        <f t="shared" si="5"/>
        <v>1185.8481708092568</v>
      </c>
      <c r="N68" s="10" cm="1">
        <f t="array" ref="N68">TREND($O$3:$O$27,$N$3:$N$27,N11)</f>
        <v>1209.0908894082741</v>
      </c>
      <c r="O68" s="11">
        <f t="shared" si="6"/>
        <v>66.909110591725948</v>
      </c>
      <c r="P68" s="10" cm="1">
        <f t="array" ref="P68">TREND($Q$3:$Q$27,$P$3:$P$27,P11)</f>
        <v>6995.362252835208</v>
      </c>
      <c r="Q68" s="11">
        <f t="shared" si="7"/>
        <v>416.36225283520798</v>
      </c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</row>
    <row r="69" spans="1:31" x14ac:dyDescent="0.2">
      <c r="A69" s="3">
        <v>10</v>
      </c>
      <c r="B69" s="10" cm="1">
        <f t="array" ref="B69">GROWTH($C$3:$C$27,$B$3:$B$27,B12)</f>
        <v>13915.693398278392</v>
      </c>
      <c r="C69" s="12">
        <f t="shared" si="0"/>
        <v>2252.3066017216079</v>
      </c>
      <c r="D69" s="10" cm="1">
        <f t="array" ref="D69">TREND($E$3:$E$27,$D$3:$D$27,D12)</f>
        <v>12812.394784364509</v>
      </c>
      <c r="E69" s="11">
        <f t="shared" si="1"/>
        <v>233.60521563549082</v>
      </c>
      <c r="F69" s="10" cm="1">
        <f t="array" ref="F69">TREND($G$3:$G$27,$F$3:$F$27,F12)</f>
        <v>13341.677793103448</v>
      </c>
      <c r="G69" s="11">
        <f t="shared" si="2"/>
        <v>693.67779310344849</v>
      </c>
      <c r="H69" s="10" cm="1">
        <f t="array" ref="H69">TREND($I$3:$I$27,$H$3:$H$27,H12)</f>
        <v>1959.8280436657842</v>
      </c>
      <c r="I69" s="11">
        <f t="shared" si="3"/>
        <v>409.82804366578421</v>
      </c>
      <c r="J69" s="10" cm="1">
        <f t="array" ref="J69">TREND($K$3:$K$27,$J$3:$J$27,J12)</f>
        <v>3755.5315452171844</v>
      </c>
      <c r="K69" s="11">
        <f t="shared" si="4"/>
        <v>144.46845478281557</v>
      </c>
      <c r="L69" s="10" cm="1">
        <f t="array" ref="L69">TREND($M$3:$M$27,$L$3:$L$27,L12)</f>
        <v>13641.021512017194</v>
      </c>
      <c r="M69" s="11">
        <f t="shared" si="5"/>
        <v>1783.9784879828057</v>
      </c>
      <c r="N69" s="10" cm="1">
        <f t="array" ref="N69">TREND($O$3:$O$27,$N$3:$N$27,N12)</f>
        <v>2991.3240465174877</v>
      </c>
      <c r="O69" s="11">
        <f t="shared" si="6"/>
        <v>111.32404651748766</v>
      </c>
      <c r="P69" s="10" cm="1">
        <f t="array" ref="P69">TREND($Q$3:$Q$27,$P$3:$P$27,P12)</f>
        <v>6577.1369016751969</v>
      </c>
      <c r="Q69" s="11">
        <f t="shared" si="7"/>
        <v>97.136901675196896</v>
      </c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</row>
    <row r="70" spans="1:31" x14ac:dyDescent="0.2">
      <c r="A70" s="3">
        <v>11</v>
      </c>
      <c r="B70" s="10" cm="1">
        <f t="array" ref="B70">GROWTH($C$3:$C$27,$B$3:$B$27,B13)</f>
        <v>10908.242108657827</v>
      </c>
      <c r="C70" s="12">
        <f t="shared" si="0"/>
        <v>408.24210865782698</v>
      </c>
      <c r="D70" s="10" cm="1">
        <f t="array" ref="D70">TREND($E$3:$E$27,$D$3:$D$27,D13)</f>
        <v>11479.031760149275</v>
      </c>
      <c r="E70" s="11">
        <f t="shared" si="1"/>
        <v>2182.9682398507248</v>
      </c>
      <c r="F70" s="10" cm="1">
        <f t="array" ref="F70">TREND($G$3:$G$27,$F$3:$F$27,F13)</f>
        <v>13381.559172413792</v>
      </c>
      <c r="G70" s="11">
        <f t="shared" si="2"/>
        <v>931.55917241379211</v>
      </c>
      <c r="H70" s="10" cm="1">
        <f t="array" ref="H70">TREND($I$3:$I$27,$H$3:$H$27,H13)</f>
        <v>2179.8796811326929</v>
      </c>
      <c r="I70" s="11">
        <f t="shared" si="3"/>
        <v>449.87968113269289</v>
      </c>
      <c r="J70" s="10" cm="1">
        <f t="array" ref="J70">TREND($K$3:$K$27,$J$3:$J$27,J13)</f>
        <v>3502.8374080227859</v>
      </c>
      <c r="K70" s="11">
        <f t="shared" si="4"/>
        <v>692.83740802278589</v>
      </c>
      <c r="L70" s="10" cm="1">
        <f t="array" ref="L70">TREND($M$3:$M$27,$L$3:$L$27,L13)</f>
        <v>14529.744658073127</v>
      </c>
      <c r="M70" s="11">
        <f t="shared" si="5"/>
        <v>1845.2553419268734</v>
      </c>
      <c r="N70" s="10" cm="1">
        <f t="array" ref="N70">TREND($O$3:$O$27,$N$3:$N$27,N13)</f>
        <v>338.69795221540215</v>
      </c>
      <c r="O70" s="11">
        <f t="shared" si="6"/>
        <v>18.697952215402154</v>
      </c>
      <c r="P70" s="10" cm="1">
        <f t="array" ref="P70">TREND($Q$3:$Q$27,$P$3:$P$27,P13)</f>
        <v>6251.8505174396323</v>
      </c>
      <c r="Q70" s="11">
        <f t="shared" si="7"/>
        <v>36.850517439632313</v>
      </c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</row>
    <row r="71" spans="1:31" x14ac:dyDescent="0.2">
      <c r="A71" s="3">
        <v>12</v>
      </c>
      <c r="B71" s="10" cm="1">
        <f t="array" ref="B71">GROWTH($C$3:$C$27,$B$3:$B$27,B14)</f>
        <v>12680.980833410673</v>
      </c>
      <c r="C71" s="12">
        <f t="shared" si="0"/>
        <v>882.98083341067286</v>
      </c>
      <c r="D71" s="10" cm="1">
        <f t="array" ref="D71">TREND($E$3:$E$27,$D$3:$D$27,D14)</f>
        <v>11525.009795467042</v>
      </c>
      <c r="E71" s="11">
        <f t="shared" si="1"/>
        <v>2872.0097954670418</v>
      </c>
      <c r="F71" s="10" cm="1">
        <f t="array" ref="F71">TREND($G$3:$G$27,$F$3:$F$27,F14)</f>
        <v>13102.38951724138</v>
      </c>
      <c r="G71" s="11">
        <f t="shared" si="2"/>
        <v>1417.6104827586205</v>
      </c>
      <c r="H71" s="10" cm="1">
        <f t="array" ref="H71">TREND($I$3:$I$27,$H$3:$H$27,H14)</f>
        <v>1690.8760423173405</v>
      </c>
      <c r="I71" s="11">
        <f t="shared" si="3"/>
        <v>171.12395768265947</v>
      </c>
      <c r="J71" s="10" cm="1">
        <f t="array" ref="J71">TREND($K$3:$K$27,$J$3:$J$27,J14)</f>
        <v>3529.4367908853542</v>
      </c>
      <c r="K71" s="11">
        <f t="shared" si="4"/>
        <v>699.43679088535418</v>
      </c>
      <c r="L71" s="10" cm="1">
        <f t="array" ref="L71">TREND($M$3:$M$27,$L$3:$L$27,L14)</f>
        <v>10928.077171425402</v>
      </c>
      <c r="M71" s="11">
        <f t="shared" si="5"/>
        <v>908.07717142540241</v>
      </c>
      <c r="N71" s="10" cm="1">
        <f t="array" ref="N71">TREND($O$3:$O$27,$N$3:$N$27,N14)</f>
        <v>1727.1819234516502</v>
      </c>
      <c r="O71" s="11">
        <f t="shared" si="6"/>
        <v>15.818076548349836</v>
      </c>
      <c r="P71" s="10" cm="1">
        <f t="array" ref="P71">TREND($Q$3:$Q$27,$P$3:$P$27,P14)</f>
        <v>5694.2167158929497</v>
      </c>
      <c r="Q71" s="11">
        <f t="shared" si="7"/>
        <v>264.78328410705035</v>
      </c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</row>
    <row r="72" spans="1:31" x14ac:dyDescent="0.2">
      <c r="A72" s="3">
        <v>13</v>
      </c>
      <c r="B72" s="10" cm="1">
        <f t="array" ref="B72">GROWTH($C$3:$C$27,$B$3:$B$27,B15)</f>
        <v>12124.743719816228</v>
      </c>
      <c r="C72" s="12">
        <f t="shared" si="0"/>
        <v>469.74371981622789</v>
      </c>
      <c r="D72" s="10" cm="1">
        <f t="array" ref="D72">TREND($E$3:$E$27,$D$3:$D$27,D15)</f>
        <v>12781.742760819332</v>
      </c>
      <c r="E72" s="11">
        <f t="shared" si="1"/>
        <v>1993.257239180668</v>
      </c>
      <c r="F72" s="10" cm="1">
        <f t="array" ref="F72">TREND($G$3:$G$27,$F$3:$F$27,F15)</f>
        <v>11786.304</v>
      </c>
      <c r="G72" s="11">
        <f t="shared" si="2"/>
        <v>709.30400000000009</v>
      </c>
      <c r="H72" s="10" cm="1">
        <f t="array" ref="H72">TREND($I$3:$I$27,$H$3:$H$27,H15)</f>
        <v>2461.0567734515207</v>
      </c>
      <c r="I72" s="11">
        <f t="shared" si="3"/>
        <v>305.05677345152071</v>
      </c>
      <c r="J72" s="10" cm="1">
        <f t="array" ref="J72">TREND($K$3:$K$27,$J$3:$J$27,J15)</f>
        <v>3742.2318537859001</v>
      </c>
      <c r="K72" s="11">
        <f t="shared" si="4"/>
        <v>742.76814621409994</v>
      </c>
      <c r="L72" s="10" cm="1">
        <f t="array" ref="L72">TREND($M$3:$M$27,$L$3:$L$27,L15)</f>
        <v>12378.099146569291</v>
      </c>
      <c r="M72" s="11">
        <f t="shared" si="5"/>
        <v>1118.0991465692914</v>
      </c>
      <c r="N72" s="10" cm="1">
        <f t="array" ref="N72">TREND($O$3:$O$27,$N$3:$N$27,N15)</f>
        <v>3094.9422533261632</v>
      </c>
      <c r="O72" s="11">
        <f t="shared" si="6"/>
        <v>34.057746673836846</v>
      </c>
      <c r="P72" s="10" cm="1">
        <f t="array" ref="P72">TREND($Q$3:$Q$27,$P$3:$P$27,P15)</f>
        <v>6205.3810339774082</v>
      </c>
      <c r="Q72" s="11">
        <f t="shared" si="7"/>
        <v>514.61896602259185</v>
      </c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</row>
    <row r="73" spans="1:31" x14ac:dyDescent="0.2">
      <c r="A73" s="3">
        <v>14</v>
      </c>
      <c r="B73" s="10" cm="1">
        <f t="array" ref="B73">GROWTH($C$3:$C$27,$B$3:$B$27,B16)</f>
        <v>12927.112754805661</v>
      </c>
      <c r="C73" s="12">
        <f t="shared" si="0"/>
        <v>572.1127548056611</v>
      </c>
      <c r="D73" s="10" cm="1">
        <f t="array" ref="D73">TREND($E$3:$E$27,$D$3:$D$27,D16)</f>
        <v>11724.247948510698</v>
      </c>
      <c r="E73" s="11">
        <f t="shared" si="1"/>
        <v>803.75205148930218</v>
      </c>
      <c r="F73" s="10" cm="1">
        <f t="array" ref="F73">TREND($G$3:$G$27,$F$3:$F$27,F16)</f>
        <v>12185.117793103447</v>
      </c>
      <c r="G73" s="11">
        <f t="shared" si="2"/>
        <v>797.11779310344718</v>
      </c>
      <c r="H73" s="10" cm="1">
        <f t="array" ref="H73">TREND($I$3:$I$27,$H$3:$H$27,H16)</f>
        <v>2241.005135984612</v>
      </c>
      <c r="I73" s="11">
        <f t="shared" si="3"/>
        <v>72.994864015387975</v>
      </c>
      <c r="J73" s="10" cm="1">
        <f t="array" ref="J73">TREND($K$3:$K$27,$J$3:$J$27,J16)</f>
        <v>3157.045430809399</v>
      </c>
      <c r="K73" s="11">
        <f t="shared" si="4"/>
        <v>352.04543080939902</v>
      </c>
      <c r="L73" s="10" cm="1">
        <f t="array" ref="L73">TREND($M$3:$M$27,$L$3:$L$27,L16)</f>
        <v>14857.168975041101</v>
      </c>
      <c r="M73" s="11">
        <f t="shared" si="5"/>
        <v>139.16897504110057</v>
      </c>
      <c r="N73" s="10" cm="1">
        <f t="array" ref="N73">TREND($O$3:$O$27,$N$3:$N$27,N16)</f>
        <v>2038.0365438776757</v>
      </c>
      <c r="O73" s="11">
        <f t="shared" si="6"/>
        <v>19.96345612232426</v>
      </c>
      <c r="P73" s="10" cm="1">
        <f t="array" ref="P73">TREND($Q$3:$Q$27,$P$3:$P$27,P16)</f>
        <v>7041.8317362974321</v>
      </c>
      <c r="Q73" s="11">
        <f t="shared" si="7"/>
        <v>281.83173629743214</v>
      </c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</row>
    <row r="74" spans="1:31" x14ac:dyDescent="0.2">
      <c r="A74" s="3">
        <v>15</v>
      </c>
      <c r="B74" s="10" cm="1">
        <f t="array" ref="B74">GROWTH($C$3:$C$27,$B$3:$B$27,B17)</f>
        <v>11227.364042427376</v>
      </c>
      <c r="C74" s="12">
        <f t="shared" si="0"/>
        <v>2677.6359575726237</v>
      </c>
      <c r="D74" s="10" cm="1">
        <f t="array" ref="D74">TREND($E$3:$E$27,$D$3:$D$27,D17)</f>
        <v>11555.661819012221</v>
      </c>
      <c r="E74" s="11">
        <f t="shared" si="1"/>
        <v>824.6618190122208</v>
      </c>
      <c r="F74" s="10" cm="1">
        <f t="array" ref="F74">TREND($G$3:$G$27,$F$3:$F$27,F17)</f>
        <v>13421.440551724138</v>
      </c>
      <c r="G74" s="11">
        <f t="shared" si="2"/>
        <v>1078.5594482758625</v>
      </c>
      <c r="H74" s="10" cm="1">
        <f t="array" ref="H74">TREND($I$3:$I$27,$H$3:$H$27,H17)</f>
        <v>1446.3742229096642</v>
      </c>
      <c r="I74" s="11">
        <f t="shared" si="3"/>
        <v>203.37422290966424</v>
      </c>
      <c r="J74" s="10" cm="1">
        <f t="array" ref="J74">TREND($K$3:$K$27,$J$3:$J$27,J17)</f>
        <v>3290.04234512224</v>
      </c>
      <c r="K74" s="11">
        <f t="shared" si="4"/>
        <v>419.95765487775998</v>
      </c>
      <c r="L74" s="10" cm="1">
        <f t="array" ref="L74">TREND($M$3:$M$27,$L$3:$L$27,L17)</f>
        <v>12939.397975657248</v>
      </c>
      <c r="M74" s="11">
        <f t="shared" si="5"/>
        <v>561.60202434275197</v>
      </c>
      <c r="N74" s="10" cm="1">
        <f t="array" ref="N74">TREND($O$3:$O$27,$N$3:$N$27,N17)</f>
        <v>1126.1963239613337</v>
      </c>
      <c r="O74" s="11">
        <f t="shared" si="6"/>
        <v>46.196323961333746</v>
      </c>
      <c r="P74" s="10" cm="1">
        <f t="array" ref="P74">TREND($Q$3:$Q$27,$P$3:$P$27,P17)</f>
        <v>7645.9350213063371</v>
      </c>
      <c r="Q74" s="11">
        <f t="shared" si="7"/>
        <v>209.93502130633715</v>
      </c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</row>
    <row r="75" spans="1:31" x14ac:dyDescent="0.2">
      <c r="A75" s="3">
        <v>16</v>
      </c>
      <c r="B75" s="10" cm="1">
        <f t="array" ref="B75">GROWTH($C$3:$C$27,$B$3:$B$27,B18)</f>
        <v>14600.797520732</v>
      </c>
      <c r="C75" s="12">
        <f t="shared" si="0"/>
        <v>2479.7975207319996</v>
      </c>
      <c r="D75" s="10" cm="1">
        <f t="array" ref="D75">TREND($E$3:$E$27,$D$3:$D$27,D18)</f>
        <v>11923.486101554354</v>
      </c>
      <c r="E75" s="11">
        <f t="shared" si="1"/>
        <v>2521.5138984456462</v>
      </c>
      <c r="F75" s="10" cm="1">
        <f t="array" ref="F75">TREND($G$3:$G$27,$F$3:$F$27,F18)</f>
        <v>11706.541241379309</v>
      </c>
      <c r="G75" s="11">
        <f t="shared" si="2"/>
        <v>299.45875862069079</v>
      </c>
      <c r="H75" s="10" cm="1">
        <f t="array" ref="H75">TREND($I$3:$I$27,$H$3:$H$27,H18)</f>
        <v>1348.5734951465938</v>
      </c>
      <c r="I75" s="11">
        <f t="shared" si="3"/>
        <v>121.42650485340619</v>
      </c>
      <c r="J75" s="10" cm="1">
        <f t="array" ref="J75">TREND($K$3:$K$27,$J$3:$J$27,J18)</f>
        <v>3755.5315452171844</v>
      </c>
      <c r="K75" s="11">
        <f t="shared" si="4"/>
        <v>755.53154521718443</v>
      </c>
      <c r="L75" s="10" cm="1">
        <f t="array" ref="L75">TREND($M$3:$M$27,$L$3:$L$27,L18)</f>
        <v>12682.136012325269</v>
      </c>
      <c r="M75" s="11">
        <f t="shared" si="5"/>
        <v>1717.8639876747311</v>
      </c>
      <c r="N75" s="10" cm="1">
        <f t="array" ref="N75">TREND($O$3:$O$27,$N$3:$N$27,N18)</f>
        <v>566.6580071944876</v>
      </c>
      <c r="O75" s="11">
        <f t="shared" si="6"/>
        <v>26.658007194487595</v>
      </c>
      <c r="P75" s="10" cm="1">
        <f t="array" ref="P75">TREND($Q$3:$Q$27,$P$3:$P$27,P18)</f>
        <v>6623.6063851374201</v>
      </c>
      <c r="Q75" s="11">
        <f t="shared" si="7"/>
        <v>331.60638513742015</v>
      </c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</row>
    <row r="76" spans="1:31" x14ac:dyDescent="0.2">
      <c r="A76" s="3">
        <v>17</v>
      </c>
      <c r="B76" s="10" cm="1">
        <f t="array" ref="B76">GROWTH($C$3:$C$27,$B$3:$B$27,B19)</f>
        <v>13347.994575387216</v>
      </c>
      <c r="C76" s="12">
        <f t="shared" si="0"/>
        <v>2094.9945753872162</v>
      </c>
      <c r="D76" s="10" cm="1">
        <f t="array" ref="D76">TREND($E$3:$E$27,$D$3:$D$27,D19)</f>
        <v>11570.987830784808</v>
      </c>
      <c r="E76" s="11">
        <f t="shared" si="1"/>
        <v>1229.0121692151915</v>
      </c>
      <c r="F76" s="10" cm="1">
        <f t="array" ref="F76">TREND($G$3:$G$27,$F$3:$F$27,F19)</f>
        <v>11826.185379310344</v>
      </c>
      <c r="G76" s="11">
        <f t="shared" si="2"/>
        <v>66.185379310343706</v>
      </c>
      <c r="H76" s="10" cm="1">
        <f t="array" ref="H76">TREND($I$3:$I$27,$H$3:$H$27,H19)</f>
        <v>1299.6731312650586</v>
      </c>
      <c r="I76" s="11">
        <f t="shared" si="3"/>
        <v>13.326868734941399</v>
      </c>
      <c r="J76" s="10" cm="1">
        <f t="array" ref="J76">TREND($K$3:$K$27,$J$3:$J$27,J19)</f>
        <v>3649.1340137669113</v>
      </c>
      <c r="K76" s="11">
        <f t="shared" si="4"/>
        <v>438.86598623308873</v>
      </c>
      <c r="L76" s="10" cm="1">
        <f t="array" ref="L76">TREND($M$3:$M$27,$L$3:$L$27,L19)</f>
        <v>13103.110134141236</v>
      </c>
      <c r="M76" s="11">
        <f t="shared" si="5"/>
        <v>1152.8898658587641</v>
      </c>
      <c r="N76" s="10" cm="1">
        <f t="array" ref="N76">TREND($O$3:$O$27,$N$3:$N$27,N19)</f>
        <v>1333.4327375786843</v>
      </c>
      <c r="O76" s="11">
        <f t="shared" si="6"/>
        <v>74.567262421315718</v>
      </c>
      <c r="P76" s="10" cm="1">
        <f t="array" ref="P76">TREND($Q$3:$Q$27,$P$3:$P$27,P19)</f>
        <v>6809.4843189863141</v>
      </c>
      <c r="Q76" s="11">
        <f t="shared" si="7"/>
        <v>690.51568101368593</v>
      </c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</row>
    <row r="77" spans="1:31" x14ac:dyDescent="0.2">
      <c r="A77" s="3">
        <v>18</v>
      </c>
      <c r="B77" s="10" cm="1">
        <f t="array" ref="B77">GROWTH($C$3:$C$27,$B$3:$B$27,B20)</f>
        <v>12844.542497099423</v>
      </c>
      <c r="C77" s="12">
        <f t="shared" si="0"/>
        <v>493.45750290057731</v>
      </c>
      <c r="D77" s="10" cm="1">
        <f t="array" ref="D77">TREND($E$3:$E$27,$D$3:$D$27,D20)</f>
        <v>11525.009795467042</v>
      </c>
      <c r="E77" s="11">
        <f t="shared" si="1"/>
        <v>327.00979546704184</v>
      </c>
      <c r="F77" s="10" cm="1">
        <f t="array" ref="F77">TREND($G$3:$G$27,$F$3:$F$27,F20)</f>
        <v>12783.33848275862</v>
      </c>
      <c r="G77" s="11">
        <f t="shared" si="2"/>
        <v>849.33848275861965</v>
      </c>
      <c r="H77" s="10" cm="1">
        <f t="array" ref="H77">TREND($I$3:$I$27,$H$3:$H$27,H20)</f>
        <v>1544.1749506727347</v>
      </c>
      <c r="I77" s="11">
        <f t="shared" si="3"/>
        <v>270.82504932726533</v>
      </c>
      <c r="J77" s="10" cm="1">
        <f t="array" ref="J77">TREND($K$3:$K$27,$J$3:$J$27,J20)</f>
        <v>2704.8559221457385</v>
      </c>
      <c r="K77" s="11">
        <f t="shared" si="4"/>
        <v>389.14407785426147</v>
      </c>
      <c r="L77" s="10" cm="1">
        <f t="array" ref="L77">TREND($M$3:$M$27,$L$3:$L$27,L20)</f>
        <v>12728.910914749265</v>
      </c>
      <c r="M77" s="11">
        <f t="shared" si="5"/>
        <v>1143.0890852507346</v>
      </c>
      <c r="N77" s="10" cm="1">
        <f t="array" ref="N77">TREND($O$3:$O$27,$N$3:$N$27,N20)</f>
        <v>2328.1675229419661</v>
      </c>
      <c r="O77" s="11">
        <f t="shared" si="6"/>
        <v>88.167522941966126</v>
      </c>
      <c r="P77" s="10" cm="1">
        <f t="array" ref="P77">TREND($Q$3:$Q$27,$P$3:$P$27,P20)</f>
        <v>7645.9350213063371</v>
      </c>
      <c r="Q77" s="11">
        <f t="shared" si="7"/>
        <v>66.935021306337148</v>
      </c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</row>
    <row r="78" spans="1:31" x14ac:dyDescent="0.2">
      <c r="A78" s="3">
        <v>19</v>
      </c>
      <c r="B78" s="10" cm="1">
        <f t="array" ref="B78">GROWTH($C$3:$C$27,$B$3:$B$27,B21)</f>
        <v>12762.499646215338</v>
      </c>
      <c r="C78" s="12">
        <f t="shared" si="0"/>
        <v>547.49964621533763</v>
      </c>
      <c r="D78" s="10" cm="1">
        <f t="array" ref="D78">TREND($E$3:$E$27,$D$3:$D$27,D21)</f>
        <v>11387.075689513742</v>
      </c>
      <c r="E78" s="11">
        <f t="shared" si="1"/>
        <v>3887.075689513742</v>
      </c>
      <c r="F78" s="10" cm="1">
        <f t="array" ref="F78">TREND($G$3:$G$27,$F$3:$F$27,F21)</f>
        <v>11467.25296551724</v>
      </c>
      <c r="G78" s="11">
        <f t="shared" si="2"/>
        <v>391.74703448275977</v>
      </c>
      <c r="H78" s="10" cm="1">
        <f t="array" ref="H78">TREND($I$3:$I$27,$H$3:$H$27,H21)</f>
        <v>2375.4811366588337</v>
      </c>
      <c r="I78" s="11">
        <f t="shared" si="3"/>
        <v>107.48113665883375</v>
      </c>
      <c r="J78" s="10" cm="1">
        <f t="array" ref="J78">TREND($K$3:$K$27,$J$3:$J$27,J21)</f>
        <v>3436.3389508663654</v>
      </c>
      <c r="K78" s="11">
        <f t="shared" si="4"/>
        <v>400.33895086636539</v>
      </c>
      <c r="L78" s="10" cm="1">
        <f t="array" ref="L78">TREND($M$3:$M$27,$L$3:$L$27,L21)</f>
        <v>16751.552523212958</v>
      </c>
      <c r="M78" s="11">
        <f t="shared" si="5"/>
        <v>251.55252321295848</v>
      </c>
      <c r="N78" s="10" cm="1">
        <f t="array" ref="N78">TREND($O$3:$O$27,$N$3:$N$27,N21)</f>
        <v>2866.9821983470774</v>
      </c>
      <c r="O78" s="11">
        <f t="shared" si="6"/>
        <v>169.01780165292257</v>
      </c>
      <c r="P78" s="10" cm="1">
        <f t="array" ref="P78">TREND($Q$3:$Q$27,$P$3:$P$27,P21)</f>
        <v>6391.2589678263021</v>
      </c>
      <c r="Q78" s="11">
        <f t="shared" si="7"/>
        <v>336.74103217369793</v>
      </c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</row>
    <row r="79" spans="1:31" x14ac:dyDescent="0.2">
      <c r="A79" s="3">
        <v>20</v>
      </c>
      <c r="B79" s="10" cm="1">
        <f t="array" ref="B79">GROWTH($C$3:$C$27,$B$3:$B$27,B22)</f>
        <v>14600.797520732</v>
      </c>
      <c r="C79" s="12">
        <f t="shared" si="0"/>
        <v>1697.7975207319996</v>
      </c>
      <c r="D79" s="10" cm="1">
        <f t="array" ref="D79">TREND($E$3:$E$27,$D$3:$D$27,D22)</f>
        <v>12843.046807909688</v>
      </c>
      <c r="E79" s="11">
        <f t="shared" si="1"/>
        <v>246.95319209031186</v>
      </c>
      <c r="F79" s="10" cm="1">
        <f t="array" ref="F79">TREND($G$3:$G$27,$F$3:$F$27,F22)</f>
        <v>13381.559172413792</v>
      </c>
      <c r="G79" s="11">
        <f t="shared" si="2"/>
        <v>184.55917241379211</v>
      </c>
      <c r="H79" s="10" cm="1">
        <f t="array" ref="H79">TREND($I$3:$I$27,$H$3:$H$27,H22)</f>
        <v>1764.2265881396434</v>
      </c>
      <c r="I79" s="11">
        <f t="shared" si="3"/>
        <v>42.773411860356646</v>
      </c>
      <c r="J79" s="10" cm="1">
        <f t="array" ref="J79">TREND($K$3:$K$27,$J$3:$J$27,J22)</f>
        <v>3502.8374080227859</v>
      </c>
      <c r="K79" s="11">
        <f t="shared" si="4"/>
        <v>130.83740802278589</v>
      </c>
      <c r="L79" s="10" cm="1">
        <f t="array" ref="L79">TREND($M$3:$M$27,$L$3:$L$27,L22)</f>
        <v>15582.179962613045</v>
      </c>
      <c r="M79" s="11">
        <f t="shared" si="5"/>
        <v>882.17996261304506</v>
      </c>
      <c r="N79" s="10" cm="1">
        <f t="array" ref="N79">TREND($O$3:$O$27,$N$3:$N$27,N22)</f>
        <v>2162.3783920480864</v>
      </c>
      <c r="O79" s="11">
        <f t="shared" si="6"/>
        <v>82.378392048086425</v>
      </c>
      <c r="P79" s="10" cm="1">
        <f t="array" ref="P79">TREND($Q$3:$Q$27,$P$3:$P$27,P22)</f>
        <v>5833.6251662796203</v>
      </c>
      <c r="Q79" s="11">
        <f t="shared" si="7"/>
        <v>9.6251662796203163</v>
      </c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</row>
    <row r="80" spans="1:31" x14ac:dyDescent="0.2">
      <c r="A80" s="3">
        <v>21</v>
      </c>
      <c r="B80" s="10" cm="1">
        <f t="array" ref="B80">GROWTH($C$3:$C$27,$B$3:$B$27,B23)</f>
        <v>14461.130089679513</v>
      </c>
      <c r="C80" s="12">
        <f t="shared" si="0"/>
        <v>493.13008967951282</v>
      </c>
      <c r="D80" s="10" cm="1">
        <f t="array" ref="D80">TREND($E$3:$E$27,$D$3:$D$27,D23)</f>
        <v>12781.742760819332</v>
      </c>
      <c r="E80" s="11">
        <f t="shared" si="1"/>
        <v>2734.742760819332</v>
      </c>
      <c r="F80" s="10" cm="1">
        <f t="array" ref="F80">TREND($G$3:$G$27,$F$3:$F$27,F23)</f>
        <v>12384.524689655173</v>
      </c>
      <c r="G80" s="11">
        <f t="shared" si="2"/>
        <v>1055.4753103448274</v>
      </c>
      <c r="H80" s="10" cm="1">
        <f t="array" ref="H80">TREND($I$3:$I$27,$H$3:$H$27,H23)</f>
        <v>1874.2524068730975</v>
      </c>
      <c r="I80" s="11">
        <f t="shared" si="3"/>
        <v>246.25240687309747</v>
      </c>
      <c r="J80" s="10" cm="1">
        <f t="array" ref="J80">TREND($K$3:$K$27,$J$3:$J$27,J23)</f>
        <v>3582.6355566104908</v>
      </c>
      <c r="K80" s="11">
        <f t="shared" si="4"/>
        <v>722.36444338950923</v>
      </c>
      <c r="L80" s="10" cm="1">
        <f t="array" ref="L80">TREND($M$3:$M$27,$L$3:$L$27,L23)</f>
        <v>17453.176059572899</v>
      </c>
      <c r="M80" s="11">
        <f t="shared" si="5"/>
        <v>1073.1760595728992</v>
      </c>
      <c r="N80" s="10" cm="1">
        <f t="array" ref="N80">TREND($O$3:$O$27,$N$3:$N$27,N23)</f>
        <v>2991.3240465174877</v>
      </c>
      <c r="O80" s="11">
        <f t="shared" si="6"/>
        <v>111.32404651748766</v>
      </c>
      <c r="P80" s="10" cm="1">
        <f t="array" ref="P80">TREND($Q$3:$Q$27,$P$3:$P$27,P23)</f>
        <v>7134.7707032218786</v>
      </c>
      <c r="Q80" s="11">
        <f t="shared" si="7"/>
        <v>257.22929677812135</v>
      </c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</row>
    <row r="81" spans="1:31" x14ac:dyDescent="0.2">
      <c r="A81" s="3">
        <v>22</v>
      </c>
      <c r="B81" s="10" cm="1">
        <f t="array" ref="B81">GROWTH($C$3:$C$27,$B$3:$B$27,B24)</f>
        <v>10978.364992539236</v>
      </c>
      <c r="C81" s="12">
        <f t="shared" si="0"/>
        <v>2611.6350074607635</v>
      </c>
      <c r="D81" s="10" cm="1">
        <f t="array" ref="D81">TREND($E$3:$E$27,$D$3:$D$27,D24)</f>
        <v>12092.072231052831</v>
      </c>
      <c r="E81" s="11">
        <f t="shared" si="1"/>
        <v>465.92776894716917</v>
      </c>
      <c r="F81" s="10" cm="1">
        <f t="array" ref="F81">TREND($G$3:$G$27,$F$3:$F$27,F24)</f>
        <v>11666.659862068966</v>
      </c>
      <c r="G81" s="11">
        <f t="shared" si="2"/>
        <v>336.65986206896559</v>
      </c>
      <c r="H81" s="10" cm="1">
        <f t="array" ref="H81">TREND($I$3:$I$27,$H$3:$H$27,H24)</f>
        <v>1874.2524068730975</v>
      </c>
      <c r="I81" s="11">
        <f t="shared" si="3"/>
        <v>98.25240687309747</v>
      </c>
      <c r="J81" s="10" cm="1">
        <f t="array" ref="J81">TREND($K$3:$K$27,$J$3:$J$27,J24)</f>
        <v>3742.2318537859001</v>
      </c>
      <c r="K81" s="11">
        <f t="shared" si="4"/>
        <v>742.76814621409994</v>
      </c>
      <c r="L81" s="10" cm="1">
        <f t="array" ref="L81">TREND($M$3:$M$27,$L$3:$L$27,L24)</f>
        <v>17920.925083812865</v>
      </c>
      <c r="M81" s="11">
        <f t="shared" si="5"/>
        <v>320.92508381286461</v>
      </c>
      <c r="N81" s="10" cm="1">
        <f t="array" ref="N81">TREND($O$3:$O$27,$N$3:$N$27,N24)</f>
        <v>1146.9199653230689</v>
      </c>
      <c r="O81" s="11">
        <f t="shared" si="6"/>
        <v>8.0800346769310636</v>
      </c>
      <c r="P81" s="10" cm="1">
        <f t="array" ref="P81">TREND($Q$3:$Q$27,$P$3:$P$27,P24)</f>
        <v>7181.2401866841019</v>
      </c>
      <c r="Q81" s="11">
        <f t="shared" si="7"/>
        <v>0.75981331589809997</v>
      </c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</row>
    <row r="82" spans="1:31" x14ac:dyDescent="0.2">
      <c r="A82" s="3">
        <v>23</v>
      </c>
      <c r="B82" s="10" cm="1">
        <f t="array" ref="B82">GROWTH($C$3:$C$27,$B$3:$B$27,B25)</f>
        <v>11518.857147613558</v>
      </c>
      <c r="C82" s="12">
        <f t="shared" si="0"/>
        <v>740.85714761355848</v>
      </c>
      <c r="D82" s="10" cm="1">
        <f t="array" ref="D82">TREND($E$3:$E$27,$D$3:$D$27,D25)</f>
        <v>12720.438713728976</v>
      </c>
      <c r="E82" s="11">
        <f t="shared" si="1"/>
        <v>3915.4387137289759</v>
      </c>
      <c r="F82" s="10" cm="1">
        <f t="array" ref="F82">TREND($G$3:$G$27,$F$3:$F$27,F25)</f>
        <v>11586.897103448275</v>
      </c>
      <c r="G82" s="11">
        <f t="shared" si="2"/>
        <v>653.10289655172528</v>
      </c>
      <c r="H82" s="10" cm="1">
        <f t="array" ref="H82">TREND($I$3:$I$27,$H$3:$H$27,H25)</f>
        <v>2008.7284075473194</v>
      </c>
      <c r="I82" s="11">
        <f t="shared" si="3"/>
        <v>217.27159245268058</v>
      </c>
      <c r="J82" s="10" cm="1">
        <f t="array" ref="J82">TREND($K$3:$K$27,$J$3:$J$27,J25)</f>
        <v>3276.7426536909561</v>
      </c>
      <c r="K82" s="11">
        <f t="shared" si="4"/>
        <v>155.2573463090439</v>
      </c>
      <c r="L82" s="10" cm="1">
        <f t="array" ref="L82">TREND($M$3:$M$27,$L$3:$L$27,L25)</f>
        <v>18412.061559264832</v>
      </c>
      <c r="M82" s="11">
        <f t="shared" si="5"/>
        <v>2112.9384407351681</v>
      </c>
      <c r="N82" s="10" cm="1">
        <f t="array" ref="N82">TREND($O$3:$O$27,$N$3:$N$27,N25)</f>
        <v>3115.6658946878979</v>
      </c>
      <c r="O82" s="11">
        <f t="shared" si="6"/>
        <v>34.33410531210211</v>
      </c>
      <c r="P82" s="10" cm="1">
        <f t="array" ref="P82">TREND($Q$3:$Q$27,$P$3:$P$27,P25)</f>
        <v>6344.7894843640788</v>
      </c>
      <c r="Q82" s="11">
        <f t="shared" si="7"/>
        <v>364.78948436407882</v>
      </c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</row>
    <row r="83" spans="1:31" x14ac:dyDescent="0.2">
      <c r="A83" s="3">
        <v>24</v>
      </c>
      <c r="B83" s="10" cm="1">
        <f t="array" ref="B83">GROWTH($C$3:$C$27,$B$3:$B$27,B26)</f>
        <v>12927.112754805661</v>
      </c>
      <c r="C83" s="12">
        <f t="shared" si="0"/>
        <v>1545.8872451943389</v>
      </c>
      <c r="D83" s="10" cm="1">
        <f t="array" ref="D83">TREND($E$3:$E$27,$D$3:$D$27,D26)</f>
        <v>11954.138125099531</v>
      </c>
      <c r="E83" s="11">
        <f t="shared" si="1"/>
        <v>396.86187490046905</v>
      </c>
      <c r="F83" s="10" cm="1">
        <f t="array" ref="F83">TREND($G$3:$G$27,$F$3:$F$27,F26)</f>
        <v>12464.287448275862</v>
      </c>
      <c r="G83" s="11">
        <f t="shared" si="2"/>
        <v>869.71255172413839</v>
      </c>
      <c r="H83" s="10" cm="1">
        <f t="array" ref="H83">TREND($I$3:$I$27,$H$3:$H$27,H26)</f>
        <v>2253.2302269549955</v>
      </c>
      <c r="I83" s="11">
        <f t="shared" si="3"/>
        <v>73.769773045004513</v>
      </c>
      <c r="J83" s="10" cm="1">
        <f t="array" ref="J83">TREND($K$3:$K$27,$J$3:$J$27,J26)</f>
        <v>3343.2411108473766</v>
      </c>
      <c r="K83" s="11">
        <f t="shared" si="4"/>
        <v>384.2411108473766</v>
      </c>
      <c r="L83" s="10" cm="1">
        <f t="array" ref="L83">TREND($M$3:$M$27,$L$3:$L$27,L26)</f>
        <v>18669.323522596809</v>
      </c>
      <c r="M83" s="11">
        <f t="shared" si="5"/>
        <v>1197.3235225968092</v>
      </c>
      <c r="N83" s="10" cm="1">
        <f t="array" ref="N83">TREND($O$3:$O$27,$N$3:$N$27,N26)</f>
        <v>2576.8512192827866</v>
      </c>
      <c r="O83" s="11">
        <f t="shared" si="6"/>
        <v>96.851219282786587</v>
      </c>
      <c r="P83" s="10" cm="1">
        <f t="array" ref="P83">TREND($Q$3:$Q$27,$P$3:$P$27,P26)</f>
        <v>6948.8927693729847</v>
      </c>
      <c r="Q83" s="11">
        <f t="shared" si="7"/>
        <v>164.89276937298473</v>
      </c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</row>
    <row r="84" spans="1:31" x14ac:dyDescent="0.2">
      <c r="A84" s="3">
        <v>25</v>
      </c>
      <c r="B84" s="10" cm="1">
        <f t="array" ref="B84">GROWTH($C$3:$C$27,$B$3:$B$27,B27)</f>
        <v>14414.871806817877</v>
      </c>
      <c r="C84" s="12">
        <f t="shared" si="0"/>
        <v>482.87180681787686</v>
      </c>
      <c r="D84" s="10" cm="1">
        <f t="array" ref="D84">TREND($E$3:$E$27,$D$3:$D$27,D27)</f>
        <v>12046.094195735064</v>
      </c>
      <c r="E84" s="11">
        <f t="shared" si="1"/>
        <v>3157.9058042649358</v>
      </c>
      <c r="F84" s="10" cm="1">
        <f t="array" ref="F84">TREND($G$3:$G$27,$F$3:$F$27,F27)</f>
        <v>12942.864</v>
      </c>
      <c r="G84" s="11">
        <f t="shared" si="2"/>
        <v>328.86399999999958</v>
      </c>
      <c r="H84" s="10" cm="1">
        <f t="array" ref="H84">TREND($I$3:$I$27,$H$3:$H$27,H27)</f>
        <v>1409.6989499985129</v>
      </c>
      <c r="I84" s="11">
        <f t="shared" si="3"/>
        <v>199.69894999851294</v>
      </c>
      <c r="J84" s="10" cm="1">
        <f t="array" ref="J84">TREND($K$3:$K$27,$J$3:$J$27,J27)</f>
        <v>3556.0361737479225</v>
      </c>
      <c r="K84" s="11">
        <f t="shared" si="4"/>
        <v>136.03617374792248</v>
      </c>
      <c r="L84" s="10" cm="1">
        <f t="array" ref="L84">TREND($M$3:$M$27,$L$3:$L$27,L27)</f>
        <v>19090.297644412778</v>
      </c>
      <c r="M84" s="11">
        <f t="shared" si="5"/>
        <v>459.70235558722197</v>
      </c>
      <c r="N84" s="10" cm="1">
        <f t="array" ref="N84">TREND($O$3:$O$27,$N$3:$N$27,N27)</f>
        <v>2763.3639915384019</v>
      </c>
      <c r="O84" s="11">
        <f t="shared" si="6"/>
        <v>29.636008461598067</v>
      </c>
      <c r="P84" s="10" cm="1">
        <f t="array" ref="P84">TREND($Q$3:$Q$27,$P$3:$P$27,P27)</f>
        <v>5833.6251662796203</v>
      </c>
      <c r="Q84" s="11">
        <f t="shared" si="7"/>
        <v>529.62516627962032</v>
      </c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</row>
    <row r="85" spans="1:31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</row>
    <row r="86" spans="1:31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</row>
    <row r="87" spans="1:31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</row>
    <row r="88" spans="1:31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</row>
    <row r="89" spans="1:31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</row>
    <row r="90" spans="1:31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</row>
    <row r="91" spans="1:31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</row>
    <row r="92" spans="1:31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</row>
    <row r="93" spans="1:31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</row>
    <row r="94" spans="1:31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</row>
    <row r="95" spans="1:31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</row>
    <row r="96" spans="1:31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</row>
    <row r="97" spans="1:31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</row>
    <row r="98" spans="1:31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</row>
    <row r="99" spans="1:31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</row>
    <row r="100" spans="1:31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</row>
    <row r="101" spans="1:31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</row>
    <row r="102" spans="1:31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</row>
    <row r="103" spans="1:31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</row>
    <row r="104" spans="1:31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</row>
    <row r="105" spans="1:31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</row>
    <row r="106" spans="1:31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</row>
    <row r="107" spans="1:31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</row>
    <row r="108" spans="1:31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</row>
    <row r="109" spans="1:31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</row>
    <row r="110" spans="1:31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</row>
    <row r="111" spans="1:31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</row>
    <row r="112" spans="1:31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</row>
    <row r="113" spans="1:31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</row>
    <row r="114" spans="1:31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</row>
    <row r="115" spans="1:31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</row>
    <row r="116" spans="1:31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</row>
    <row r="117" spans="1:31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</row>
    <row r="118" spans="1:31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</row>
    <row r="119" spans="1:31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</row>
    <row r="120" spans="1:31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</row>
    <row r="121" spans="1:31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</row>
    <row r="122" spans="1:31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</row>
    <row r="123" spans="1:31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</row>
    <row r="124" spans="1:31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</row>
    <row r="125" spans="1:31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</row>
    <row r="126" spans="1:31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</row>
    <row r="127" spans="1:3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</row>
    <row r="128" spans="1:31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</row>
    <row r="129" spans="1:3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</row>
    <row r="130" spans="1:3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</row>
    <row r="131" spans="1:3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</row>
    <row r="132" spans="1:3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</row>
  </sheetData>
  <mergeCells count="16">
    <mergeCell ref="B58:C58"/>
    <mergeCell ref="D58:E58"/>
    <mergeCell ref="F58:G58"/>
    <mergeCell ref="H58:I58"/>
    <mergeCell ref="J58:K58"/>
    <mergeCell ref="L58:M58"/>
    <mergeCell ref="N58:O58"/>
    <mergeCell ref="P58:Q58"/>
    <mergeCell ref="N1:O1"/>
    <mergeCell ref="P1:Q1"/>
    <mergeCell ref="L1:M1"/>
    <mergeCell ref="B1:C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E48AA-83C5-6B4A-887B-DACF4C921234}">
  <sheetPr codeName="Sheet4"/>
  <dimension ref="A1:AC157"/>
  <sheetViews>
    <sheetView workbookViewId="0">
      <selection activeCell="C17" sqref="C17"/>
    </sheetView>
  </sheetViews>
  <sheetFormatPr baseColWidth="10" defaultColWidth="11" defaultRowHeight="16" x14ac:dyDescent="0.2"/>
  <cols>
    <col min="1" max="1" width="7.5" customWidth="1"/>
    <col min="2" max="2" width="12" customWidth="1"/>
    <col min="3" max="3" width="28.6640625" customWidth="1"/>
    <col min="4" max="4" width="15.5" customWidth="1"/>
    <col min="5" max="5" width="17.33203125" customWidth="1"/>
    <col min="7" max="7" width="21.5" customWidth="1"/>
    <col min="8" max="8" width="15.1640625" customWidth="1"/>
    <col min="9" max="9" width="15.5" customWidth="1"/>
    <col min="10" max="10" width="18.1640625" customWidth="1"/>
  </cols>
  <sheetData>
    <row r="1" spans="1:29" x14ac:dyDescent="0.2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</row>
    <row r="2" spans="1:29" x14ac:dyDescent="0.2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1:29" x14ac:dyDescent="0.2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</row>
    <row r="4" spans="1:29" ht="26" x14ac:dyDescent="0.3">
      <c r="A4" s="15"/>
      <c r="B4" s="15"/>
      <c r="C4" s="31" t="s">
        <v>33</v>
      </c>
      <c r="D4" s="32"/>
      <c r="E4" s="32"/>
      <c r="F4" s="32"/>
      <c r="G4" s="32"/>
      <c r="H4" s="32"/>
      <c r="I4" s="23" t="s">
        <v>53</v>
      </c>
      <c r="J4" s="15"/>
      <c r="K4" s="15"/>
      <c r="L4" s="15"/>
      <c r="M4" s="33"/>
      <c r="N4" s="33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</row>
    <row r="5" spans="1:29" x14ac:dyDescent="0.2">
      <c r="A5" s="15"/>
      <c r="B5" s="15"/>
      <c r="C5" s="7" t="s">
        <v>34</v>
      </c>
      <c r="D5" s="7" t="s">
        <v>35</v>
      </c>
      <c r="E5" s="7" t="s">
        <v>36</v>
      </c>
      <c r="F5" s="7" t="s">
        <v>33</v>
      </c>
      <c r="G5" s="7" t="s">
        <v>37</v>
      </c>
      <c r="H5" s="7" t="s">
        <v>38</v>
      </c>
      <c r="I5" s="3"/>
      <c r="J5" s="15"/>
      <c r="K5" s="15"/>
      <c r="L5" s="15"/>
      <c r="M5" s="15"/>
      <c r="N5" s="2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1:29" x14ac:dyDescent="0.2">
      <c r="A6" s="15"/>
      <c r="B6" s="15"/>
      <c r="C6" s="8" t="s">
        <v>39</v>
      </c>
      <c r="D6" s="5">
        <v>1</v>
      </c>
      <c r="E6" s="20">
        <v>8697.031111934848</v>
      </c>
      <c r="F6" s="10">
        <f>D6*E6</f>
        <v>8697.031111934848</v>
      </c>
      <c r="G6" s="13">
        <v>0.65</v>
      </c>
      <c r="H6" s="13">
        <v>0.15</v>
      </c>
      <c r="I6" s="24" t="str" cm="1">
        <f t="array" ref="I6:I13">IF(D6:D13=1,"Selected","Not Selected")</f>
        <v>Selected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</row>
    <row r="7" spans="1:29" x14ac:dyDescent="0.2">
      <c r="A7" s="15"/>
      <c r="B7" s="15"/>
      <c r="C7" s="8" t="s">
        <v>21</v>
      </c>
      <c r="D7" s="5">
        <v>1</v>
      </c>
      <c r="E7" s="20">
        <v>4636.7508893025897</v>
      </c>
      <c r="F7" s="10">
        <f t="shared" ref="F7:F9" si="0">D7*E7</f>
        <v>4636.7508893025897</v>
      </c>
      <c r="G7" s="13">
        <v>0.72</v>
      </c>
      <c r="H7" s="13">
        <v>0.35</v>
      </c>
      <c r="I7" s="24" t="str">
        <v>Selected</v>
      </c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</row>
    <row r="8" spans="1:29" x14ac:dyDescent="0.2">
      <c r="A8" s="15"/>
      <c r="B8" s="15"/>
      <c r="C8" s="8" t="s">
        <v>22</v>
      </c>
      <c r="D8" s="5">
        <v>1</v>
      </c>
      <c r="E8" s="20">
        <v>6307.6950861766545</v>
      </c>
      <c r="F8" s="10">
        <f t="shared" si="0"/>
        <v>6307.6950861766545</v>
      </c>
      <c r="G8" s="13">
        <v>0.76</v>
      </c>
      <c r="H8" s="13">
        <v>0.22</v>
      </c>
      <c r="I8" s="24" t="str">
        <v>Selected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</row>
    <row r="9" spans="1:29" ht="19" x14ac:dyDescent="0.25">
      <c r="A9" s="15"/>
      <c r="B9" s="15"/>
      <c r="C9" s="8" t="s">
        <v>40</v>
      </c>
      <c r="D9" s="5">
        <v>1</v>
      </c>
      <c r="E9" s="20">
        <v>6897.4400889097233</v>
      </c>
      <c r="F9" s="10">
        <f t="shared" si="0"/>
        <v>6897.4400889097233</v>
      </c>
      <c r="G9" s="13">
        <v>0.85</v>
      </c>
      <c r="H9" s="13">
        <v>0.25</v>
      </c>
      <c r="I9" s="24" t="str">
        <v>Selected</v>
      </c>
      <c r="J9" s="15"/>
      <c r="K9" s="15"/>
      <c r="L9" s="15"/>
      <c r="M9" s="26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</row>
    <row r="10" spans="1:29" x14ac:dyDescent="0.2">
      <c r="A10" s="15"/>
      <c r="B10" s="15"/>
      <c r="C10" s="8" t="s">
        <v>23</v>
      </c>
      <c r="D10" s="5">
        <v>0</v>
      </c>
      <c r="E10" s="20">
        <v>1000</v>
      </c>
      <c r="F10" s="10">
        <f>D10*E10</f>
        <v>0</v>
      </c>
      <c r="G10" s="13">
        <v>0.35</v>
      </c>
      <c r="H10" s="13">
        <v>0.45</v>
      </c>
      <c r="I10" s="24" t="str">
        <v>Not Selected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1:29" x14ac:dyDescent="0.2">
      <c r="A11" s="15"/>
      <c r="B11" s="15"/>
      <c r="C11" s="8" t="s">
        <v>49</v>
      </c>
      <c r="D11" s="5">
        <v>1</v>
      </c>
      <c r="E11" s="20">
        <v>1491.4475259554574</v>
      </c>
      <c r="F11" s="10">
        <f t="shared" ref="F11:F12" si="1">D11*E11</f>
        <v>1491.4475259554574</v>
      </c>
      <c r="G11" s="13">
        <v>0.45</v>
      </c>
      <c r="H11" s="13">
        <v>0.4</v>
      </c>
      <c r="I11" s="24" t="str">
        <v>Selected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</row>
    <row r="12" spans="1:29" x14ac:dyDescent="0.2">
      <c r="A12" s="15"/>
      <c r="B12" s="15"/>
      <c r="C12" s="8" t="s">
        <v>26</v>
      </c>
      <c r="D12" s="5">
        <v>1</v>
      </c>
      <c r="E12" s="20">
        <v>1196.571859753891</v>
      </c>
      <c r="F12" s="10">
        <f t="shared" si="1"/>
        <v>1196.571859753891</v>
      </c>
      <c r="G12" s="13">
        <v>0.38</v>
      </c>
      <c r="H12" s="13">
        <v>0.36</v>
      </c>
      <c r="I12" s="24" t="str">
        <v>Selected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</row>
    <row r="13" spans="1:29" x14ac:dyDescent="0.2">
      <c r="A13" s="15"/>
      <c r="B13" s="15"/>
      <c r="C13" s="8" t="s">
        <v>50</v>
      </c>
      <c r="D13" s="5">
        <v>0</v>
      </c>
      <c r="E13" s="20">
        <v>3555.5535456139096</v>
      </c>
      <c r="F13" s="10">
        <f>D13*E13</f>
        <v>0</v>
      </c>
      <c r="G13" s="13">
        <v>0.86</v>
      </c>
      <c r="H13" s="13">
        <v>0.6</v>
      </c>
      <c r="I13" s="24" t="str">
        <v>Not Selected</v>
      </c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</row>
    <row r="14" spans="1:29" x14ac:dyDescent="0.2">
      <c r="A14" s="15"/>
      <c r="B14" s="15"/>
      <c r="C14" s="15"/>
      <c r="D14" s="15"/>
      <c r="E14" s="15"/>
      <c r="F14" s="15"/>
      <c r="G14" s="23" t="s">
        <v>51</v>
      </c>
      <c r="H14" s="23" t="s">
        <v>52</v>
      </c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</row>
    <row r="15" spans="1:29" x14ac:dyDescent="0.2">
      <c r="A15" s="15"/>
      <c r="B15" s="15"/>
      <c r="C15" s="15"/>
      <c r="D15" s="15"/>
      <c r="E15" s="15"/>
      <c r="F15" s="15"/>
      <c r="G15" s="22">
        <f>SUMPRODUCT(Investment,G6:G13)</f>
        <v>20774.051897509471</v>
      </c>
      <c r="H15" s="22">
        <f>SUMPRODUCT(Investment,Risk_Rate)</f>
        <v>7066.8152991260113</v>
      </c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1:29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</row>
    <row r="17" spans="1:29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1:29" x14ac:dyDescent="0.2">
      <c r="A18" s="15"/>
      <c r="B18" s="15"/>
      <c r="C18" s="9" t="s">
        <v>41</v>
      </c>
      <c r="D18" s="9" t="s">
        <v>42</v>
      </c>
      <c r="E18" s="9" t="s">
        <v>43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</row>
    <row r="19" spans="1:29" x14ac:dyDescent="0.2">
      <c r="A19" s="15"/>
      <c r="B19" s="15"/>
      <c r="C19" s="4">
        <f>SUM(D6:D13)</f>
        <v>6</v>
      </c>
      <c r="D19" s="14">
        <v>1000</v>
      </c>
      <c r="E19" s="10">
        <f>SUM(F6:F13)</f>
        <v>29226.936562033163</v>
      </c>
      <c r="F19" s="15"/>
      <c r="G19" s="9" t="s">
        <v>44</v>
      </c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</row>
    <row r="20" spans="1:29" x14ac:dyDescent="0.2">
      <c r="A20" s="15"/>
      <c r="B20" s="15"/>
      <c r="C20" s="9" t="s">
        <v>45</v>
      </c>
      <c r="D20" s="9" t="s">
        <v>46</v>
      </c>
      <c r="E20" s="9" t="s">
        <v>47</v>
      </c>
      <c r="F20" s="15"/>
      <c r="G20" s="1" t="s">
        <v>48</v>
      </c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</row>
    <row r="21" spans="1:29" x14ac:dyDescent="0.2">
      <c r="A21" s="15"/>
      <c r="B21" s="15"/>
      <c r="C21" s="6">
        <v>6</v>
      </c>
      <c r="D21" s="14">
        <v>25000</v>
      </c>
      <c r="E21" s="14">
        <v>30000</v>
      </c>
      <c r="F21" s="15"/>
      <c r="G21" s="21">
        <f>G15-H15</f>
        <v>13707.236598383461</v>
      </c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</row>
    <row r="22" spans="1:29" x14ac:dyDescent="0.2">
      <c r="A22" s="15"/>
      <c r="B22" s="15"/>
      <c r="C22" s="34" t="str">
        <f>CONCATENATE("The total investment is $", ROUND(Total_Investment,2), " and the max expected profit is $",ROUND(Maximize_Expected_Profit,2))</f>
        <v>The total investment is $29226.94 and the max expected profit is $13707.24</v>
      </c>
      <c r="D22" s="35"/>
      <c r="E22" s="36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 x14ac:dyDescent="0.2">
      <c r="A23" s="15"/>
      <c r="B23" s="15"/>
      <c r="C23" s="37"/>
      <c r="D23" s="38"/>
      <c r="E23" s="39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x14ac:dyDescent="0.2">
      <c r="A24" s="15"/>
      <c r="B24" s="15"/>
      <c r="C24" s="40"/>
      <c r="D24" s="41"/>
      <c r="E24" s="42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</row>
    <row r="33" spans="1:29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</row>
    <row r="34" spans="1:29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</row>
    <row r="35" spans="1:29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</row>
    <row r="36" spans="1:29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</row>
    <row r="37" spans="1:29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</row>
    <row r="38" spans="1:29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</row>
    <row r="39" spans="1:29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</row>
    <row r="40" spans="1:29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</row>
    <row r="41" spans="1:29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</row>
    <row r="42" spans="1:29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</row>
    <row r="43" spans="1:29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</row>
    <row r="44" spans="1:29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</row>
    <row r="45" spans="1:29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</row>
    <row r="46" spans="1:29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</row>
    <row r="47" spans="1:29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</row>
    <row r="48" spans="1:29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</row>
    <row r="49" spans="1:29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</row>
    <row r="50" spans="1:29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</row>
    <row r="51" spans="1:29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</row>
    <row r="52" spans="1:29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</row>
    <row r="53" spans="1:29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4" spans="1:29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</row>
    <row r="55" spans="1:29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</row>
    <row r="56" spans="1:29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</row>
    <row r="57" spans="1:29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</row>
    <row r="58" spans="1:29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</row>
    <row r="59" spans="1:29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</row>
    <row r="60" spans="1:29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</row>
    <row r="61" spans="1:29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</row>
    <row r="62" spans="1:29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</row>
    <row r="63" spans="1:29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</row>
    <row r="64" spans="1:29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</row>
    <row r="65" spans="1:29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</row>
    <row r="66" spans="1:29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</row>
    <row r="67" spans="1:29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</row>
    <row r="68" spans="1:29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</row>
    <row r="69" spans="1:29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</row>
    <row r="70" spans="1:29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</row>
    <row r="71" spans="1:29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</row>
    <row r="72" spans="1:29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</row>
    <row r="73" spans="1:29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</row>
    <row r="74" spans="1:29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</row>
    <row r="75" spans="1:29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</row>
    <row r="76" spans="1:29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</row>
    <row r="77" spans="1:29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</row>
    <row r="78" spans="1:29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</row>
    <row r="79" spans="1:29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</row>
    <row r="80" spans="1:29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</row>
    <row r="81" spans="1:29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</row>
    <row r="82" spans="1:29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</row>
    <row r="83" spans="1:29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</row>
    <row r="84" spans="1:29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spans="1:29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</row>
    <row r="86" spans="1:29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</row>
    <row r="87" spans="1:29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</row>
    <row r="88" spans="1:29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</row>
    <row r="89" spans="1:29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</row>
    <row r="90" spans="1:29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</row>
    <row r="91" spans="1:29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</row>
    <row r="92" spans="1:29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</row>
    <row r="93" spans="1:29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</row>
    <row r="94" spans="1:29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</row>
    <row r="95" spans="1:29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</row>
    <row r="96" spans="1:29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</row>
    <row r="97" spans="1:29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</row>
    <row r="98" spans="1:29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</row>
    <row r="99" spans="1:29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</row>
    <row r="100" spans="1:29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</row>
    <row r="101" spans="1:29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</row>
    <row r="102" spans="1:29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</row>
    <row r="103" spans="1:29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</row>
    <row r="104" spans="1:29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</row>
    <row r="105" spans="1:29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</row>
    <row r="106" spans="1:29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</row>
    <row r="107" spans="1:29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</row>
    <row r="108" spans="1:29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</row>
    <row r="109" spans="1:29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</row>
    <row r="110" spans="1:29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</row>
    <row r="111" spans="1:29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</row>
    <row r="112" spans="1:29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</row>
    <row r="113" spans="1:29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</row>
    <row r="114" spans="1:29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</row>
    <row r="115" spans="1:29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</row>
    <row r="116" spans="1:29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</row>
    <row r="117" spans="1:29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</row>
    <row r="118" spans="1:29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</row>
    <row r="119" spans="1:29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</row>
    <row r="120" spans="1:29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</row>
    <row r="121" spans="1:29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</row>
    <row r="122" spans="1:29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</row>
    <row r="123" spans="1:29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</row>
    <row r="124" spans="1:29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</row>
    <row r="125" spans="1:29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</row>
    <row r="126" spans="1:29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</row>
    <row r="127" spans="1:29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</row>
    <row r="128" spans="1:29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</row>
    <row r="129" spans="1:29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</row>
    <row r="130" spans="1:29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</row>
    <row r="131" spans="1:29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</row>
    <row r="132" spans="1:29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</row>
    <row r="133" spans="1:29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</row>
    <row r="134" spans="1:29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</row>
    <row r="135" spans="1:29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</row>
    <row r="136" spans="1:29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</row>
    <row r="137" spans="1:29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</row>
    <row r="138" spans="1:29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</row>
    <row r="139" spans="1:29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</row>
    <row r="140" spans="1:29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</row>
    <row r="141" spans="1:29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</row>
    <row r="142" spans="1:29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</row>
    <row r="143" spans="1:29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</row>
    <row r="144" spans="1:29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</row>
    <row r="145" spans="1:29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</row>
    <row r="146" spans="1:29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</row>
    <row r="147" spans="1:29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</row>
    <row r="148" spans="1:29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</row>
    <row r="149" spans="1:29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</row>
    <row r="150" spans="1:29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</row>
    <row r="151" spans="1:29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</row>
    <row r="152" spans="1:29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</row>
    <row r="153" spans="1:29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</row>
    <row r="154" spans="1:29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</row>
    <row r="155" spans="1:29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</row>
    <row r="156" spans="1:29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</row>
    <row r="157" spans="1:29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</row>
  </sheetData>
  <mergeCells count="3">
    <mergeCell ref="C4:H4"/>
    <mergeCell ref="M4:N4"/>
    <mergeCell ref="C22:E24"/>
  </mergeCells>
  <conditionalFormatting sqref="C6:I13">
    <cfRule type="expression" dxfId="0" priority="1">
      <formula>$D6=1</formula>
    </cfRule>
  </conditionalFormatting>
  <dataValidations count="1">
    <dataValidation type="whole" allowBlank="1" showInputMessage="1" showErrorMessage="1" errorTitle="Error" error="Invalid amount, please input value between 1 and 8." promptTitle="Minimum Selection Amount" prompt="Please input a minimum amount of categories to be selected (maximum input is 8)" sqref="C21" xr:uid="{C445C65C-E988-47B1-94B3-36F5AC13DF8C}">
      <formula1>1</formula1>
      <formula2>8</formula2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d60f57-2417-4f47-a894-61f4f581ebb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BA90B96778FB548B28B0C094139ACB9" ma:contentTypeVersion="9" ma:contentTypeDescription="Create a new document." ma:contentTypeScope="" ma:versionID="bbcbcc2b512aba1bb7ba6767ef149bf1">
  <xsd:schema xmlns:xsd="http://www.w3.org/2001/XMLSchema" xmlns:xs="http://www.w3.org/2001/XMLSchema" xmlns:p="http://schemas.microsoft.com/office/2006/metadata/properties" xmlns:ns3="aed60f57-2417-4f47-a894-61f4f581ebb8" xmlns:ns4="243150c1-e768-4ae3-986d-e4492afbff2e" targetNamespace="http://schemas.microsoft.com/office/2006/metadata/properties" ma:root="true" ma:fieldsID="16113fc0d308e3678e5810a77d75e5f6" ns3:_="" ns4:_="">
    <xsd:import namespace="aed60f57-2417-4f47-a894-61f4f581ebb8"/>
    <xsd:import namespace="243150c1-e768-4ae3-986d-e4492afbff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60f57-2417-4f47-a894-61f4f581eb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3150c1-e768-4ae3-986d-e4492afbff2e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A346228-135C-4184-8D01-8B52B01409A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9FE0D9-F64E-42AA-B0B6-175DDD60104F}">
  <ds:schemaRefs>
    <ds:schemaRef ds:uri="http://schemas.microsoft.com/office/2006/metadata/properties"/>
    <ds:schemaRef ds:uri="http://schemas.microsoft.com/office/infopath/2007/PartnerControls"/>
    <ds:schemaRef ds:uri="aed60f57-2417-4f47-a894-61f4f581ebb8"/>
  </ds:schemaRefs>
</ds:datastoreItem>
</file>

<file path=customXml/itemProps3.xml><?xml version="1.0" encoding="utf-8"?>
<ds:datastoreItem xmlns:ds="http://schemas.openxmlformats.org/officeDocument/2006/customXml" ds:itemID="{31886F64-B0E3-494E-8ED2-15B7E8F024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d60f57-2417-4f47-a894-61f4f581ebb8"/>
    <ds:schemaRef ds:uri="243150c1-e768-4ae3-986d-e4492afbff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Welcome</vt:lpstr>
      <vt:lpstr>Hidden</vt:lpstr>
      <vt:lpstr>Forecasting</vt:lpstr>
      <vt:lpstr>Investment</vt:lpstr>
      <vt:lpstr>Allocation</vt:lpstr>
      <vt:lpstr>AllocationDV</vt:lpstr>
      <vt:lpstr>Available_Funds</vt:lpstr>
      <vt:lpstr>Investment</vt:lpstr>
      <vt:lpstr>LogInInfo</vt:lpstr>
      <vt:lpstr>Max_Allocation</vt:lpstr>
      <vt:lpstr>Maximize_Expected_Profit</vt:lpstr>
      <vt:lpstr>Min_Allocation</vt:lpstr>
      <vt:lpstr>Min_to_Select</vt:lpstr>
      <vt:lpstr>P1_Price</vt:lpstr>
      <vt:lpstr>P1_Sales</vt:lpstr>
      <vt:lpstr>Return_Rate</vt:lpstr>
      <vt:lpstr>Risk_Rate</vt:lpstr>
      <vt:lpstr>Selected</vt:lpstr>
      <vt:lpstr>Total_Investment</vt:lpstr>
      <vt:lpstr>Total_Selected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Bandi, Sathvik</dc:creator>
  <cp:keywords/>
  <dc:description/>
  <cp:lastModifiedBy>Danahy, Meg</cp:lastModifiedBy>
  <cp:revision/>
  <dcterms:created xsi:type="dcterms:W3CDTF">2023-10-26T12:35:43Z</dcterms:created>
  <dcterms:modified xsi:type="dcterms:W3CDTF">2025-09-16T21:55:07Z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0x010100EBA90B96778FB548B28B0C094139ACB9</vt:lpwstr>
  </property>
</Properties>
</file>